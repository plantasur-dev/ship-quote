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3" documentId="8_{39E2BC28-AD51-4A68-828F-C08ADD38B3B3}" xr6:coauthVersionLast="47" xr6:coauthVersionMax="47" xr10:uidLastSave="{2293568B-E0E0-429F-849D-DE318A69369E}"/>
  <bookViews>
    <workbookView xWindow="-120" yWindow="-120" windowWidth="29040" windowHeight="15720" tabRatio="769" activeTab="2" xr2:uid="{00000000-000D-0000-FFFF-FFFF00000000}"/>
  </bookViews>
  <sheets>
    <sheet name="Datos Cliente" sheetId="14" r:id="rId1"/>
    <sheet name="Tarifa Premium" sheetId="30" r:id="rId2"/>
    <sheet name="Tarifa Economy" sheetId="27" r:id="rId3"/>
    <sheet name="Cálculos " sheetId="25" state="hidden" r:id="rId4"/>
  </sheets>
  <externalReferences>
    <externalReference r:id="rId5"/>
  </externalReferences>
  <definedNames>
    <definedName name="_xlnm._FilterDatabase" localSheetId="3" hidden="1">'Cálculos '!$A$4:$AS$508</definedName>
    <definedName name="_xlnm.Print_Area" localSheetId="2">'Tarifa Economy'!$A$1:$V$68</definedName>
    <definedName name="_xlnm.Print_Area" localSheetId="1">'Tarifa Premium'!$A$1:$V$68</definedName>
    <definedName name="D">#REF!</definedName>
    <definedName name="HY">#REF!</definedName>
    <definedName name="JYJ">#REF!</definedName>
    <definedName name="MasterList" localSheetId="2">#REF!</definedName>
    <definedName name="MasterList" localSheetId="1">#REF!</definedName>
    <definedName name="MasterList">#REF!</definedName>
    <definedName name="MasterListPT">'[1]PostCode MasterList PT'!$A$3:$N$812</definedName>
    <definedName name="PostcodeDepot" localSheetId="2">#REF!</definedName>
    <definedName name="PostcodeDepot" localSheetId="1">#REF!</definedName>
    <definedName name="PostcodeDepot">#REF!</definedName>
    <definedName name="PostcodeDepotPT" localSheetId="3">#REF!</definedName>
    <definedName name="PostcodeDepotPT" localSheetId="2">#REF!</definedName>
    <definedName name="PostcodeDepotPT" localSheetId="1">#REF!</definedName>
    <definedName name="PostcodeDepotPT">#REF!</definedName>
    <definedName name="PostCodeMasterList" localSheetId="2">#REF!</definedName>
    <definedName name="PostCodeMasterList" localSheetId="1">#REF!</definedName>
    <definedName name="PostCodeMasterList">#REF!</definedName>
    <definedName name="PostcodeMasterList_v3" localSheetId="2">#REF!</definedName>
    <definedName name="PostcodeMasterList_v3" localSheetId="1">#REF!</definedName>
    <definedName name="PostcodeMasterList_v3">#REF!</definedName>
    <definedName name="Servicios" localSheetId="3">#REF!</definedName>
    <definedName name="Servicios" localSheetId="2">#REF!</definedName>
    <definedName name="Servicios" localSheetId="1">#REF!</definedName>
    <definedName name="Servicios">#REF!</definedName>
    <definedName name="SiriusAddressList" localSheetId="2">#REF!</definedName>
    <definedName name="SiriusAddressList" localSheetId="1">#REF!</definedName>
    <definedName name="SiriusAddress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508" i="25" l="1"/>
  <c r="O507" i="25"/>
  <c r="O506" i="25"/>
  <c r="O505" i="25"/>
  <c r="O504" i="25"/>
  <c r="O503" i="25"/>
  <c r="O502" i="25"/>
  <c r="O501" i="25"/>
  <c r="O500" i="25"/>
  <c r="O499" i="25"/>
  <c r="O498" i="25"/>
  <c r="O497" i="25"/>
  <c r="O496" i="25"/>
  <c r="O495" i="25"/>
  <c r="O494" i="25"/>
  <c r="O493" i="25"/>
  <c r="O492" i="25"/>
  <c r="O491" i="25"/>
  <c r="O490" i="25"/>
  <c r="O489" i="25"/>
  <c r="O488" i="25"/>
  <c r="O487" i="25"/>
  <c r="O486" i="25"/>
  <c r="O485" i="25"/>
  <c r="O484" i="25"/>
  <c r="O483" i="25"/>
  <c r="O482" i="25"/>
  <c r="O481" i="25"/>
  <c r="O480" i="25"/>
  <c r="O479" i="25"/>
  <c r="O478" i="25"/>
  <c r="O477" i="25"/>
  <c r="O476" i="25"/>
  <c r="O475" i="25"/>
  <c r="O474" i="25"/>
  <c r="O473" i="25"/>
  <c r="O472" i="25"/>
  <c r="O471" i="25"/>
  <c r="O470" i="25"/>
  <c r="O469" i="25"/>
  <c r="O468" i="25"/>
  <c r="O467" i="25"/>
  <c r="O466" i="25"/>
  <c r="O465" i="25"/>
  <c r="O464" i="25"/>
  <c r="O463" i="25"/>
  <c r="O462" i="25"/>
  <c r="O461" i="25"/>
  <c r="O460" i="25"/>
  <c r="O459" i="25"/>
  <c r="O458" i="25"/>
  <c r="O457" i="25"/>
  <c r="O456" i="25"/>
  <c r="O455" i="25"/>
  <c r="O454" i="25"/>
  <c r="O453" i="25"/>
  <c r="O452" i="25"/>
  <c r="O451" i="25"/>
  <c r="O450" i="25"/>
  <c r="O449" i="25"/>
  <c r="O448" i="25"/>
  <c r="O447" i="25"/>
  <c r="O446" i="25"/>
  <c r="O445" i="25"/>
  <c r="O444" i="25"/>
  <c r="O443" i="25"/>
  <c r="O442" i="25"/>
  <c r="O441" i="25"/>
  <c r="O440" i="25"/>
  <c r="O439" i="25"/>
  <c r="O438" i="25"/>
  <c r="O437" i="25"/>
  <c r="O436" i="25"/>
  <c r="O435" i="25"/>
  <c r="O434" i="25"/>
  <c r="O433" i="25"/>
  <c r="O432" i="25"/>
  <c r="O431" i="25"/>
  <c r="O430" i="25"/>
  <c r="O429" i="25"/>
  <c r="O428" i="25"/>
  <c r="O427" i="25"/>
  <c r="O426" i="25"/>
  <c r="O425" i="25"/>
  <c r="O424" i="25"/>
  <c r="O423" i="25"/>
  <c r="O422" i="25"/>
  <c r="O421" i="25"/>
  <c r="O420" i="25"/>
  <c r="O419" i="25"/>
  <c r="O418" i="25"/>
  <c r="O417" i="25"/>
  <c r="O416" i="25"/>
  <c r="O415" i="25"/>
  <c r="O414" i="25"/>
  <c r="O413" i="25"/>
  <c r="O412" i="25"/>
  <c r="O411" i="25"/>
  <c r="O410" i="25"/>
  <c r="O409" i="25"/>
  <c r="O408" i="25"/>
  <c r="O407" i="25"/>
  <c r="O406" i="25"/>
  <c r="O405" i="25"/>
  <c r="O404" i="25"/>
  <c r="O403" i="25"/>
  <c r="O402" i="25"/>
  <c r="O401" i="25"/>
  <c r="O400" i="25"/>
  <c r="O399" i="25"/>
  <c r="O398" i="25"/>
  <c r="O397" i="25"/>
  <c r="O396" i="25"/>
  <c r="O395" i="25"/>
  <c r="O394" i="25"/>
  <c r="O393" i="25"/>
  <c r="O392" i="25"/>
  <c r="O391" i="25"/>
  <c r="O390" i="25"/>
  <c r="O389" i="25"/>
  <c r="O388" i="25"/>
  <c r="O387" i="25"/>
  <c r="O386" i="25"/>
  <c r="O385" i="25"/>
  <c r="O384" i="25"/>
  <c r="O383" i="25"/>
  <c r="O382" i="25"/>
  <c r="O381" i="25"/>
  <c r="O380" i="25"/>
  <c r="O379" i="25"/>
  <c r="O378" i="25"/>
  <c r="O377" i="25"/>
  <c r="O376" i="25"/>
  <c r="O375" i="25"/>
  <c r="O374" i="25"/>
  <c r="O373" i="25"/>
  <c r="O372" i="25"/>
  <c r="O371" i="25"/>
  <c r="O370" i="25"/>
  <c r="O369" i="25"/>
  <c r="O368" i="25"/>
  <c r="O367" i="25"/>
  <c r="O366" i="25"/>
  <c r="O365" i="25"/>
  <c r="O364" i="25"/>
  <c r="O363" i="25"/>
  <c r="O362" i="25"/>
  <c r="O361" i="25"/>
  <c r="O360" i="25"/>
  <c r="O359" i="25"/>
  <c r="O358" i="25"/>
  <c r="O357" i="25"/>
  <c r="O356" i="25"/>
  <c r="O355" i="25"/>
  <c r="O354" i="25"/>
  <c r="O353" i="25"/>
  <c r="O352" i="25"/>
  <c r="O351" i="25"/>
  <c r="O350" i="25"/>
  <c r="O349" i="25"/>
  <c r="O348" i="25"/>
  <c r="O347" i="25"/>
  <c r="O346" i="25"/>
  <c r="O345" i="25"/>
  <c r="O344" i="25"/>
  <c r="O343" i="25"/>
  <c r="O342" i="25"/>
  <c r="O341" i="25"/>
  <c r="O340" i="25"/>
  <c r="O339" i="25"/>
  <c r="O338" i="25"/>
  <c r="O337" i="25"/>
  <c r="O336" i="25"/>
  <c r="O335" i="25"/>
  <c r="O334" i="25"/>
  <c r="O333" i="25"/>
  <c r="O332" i="25"/>
  <c r="O331" i="25"/>
  <c r="O330" i="25"/>
  <c r="O329" i="25"/>
  <c r="O328" i="25"/>
  <c r="O327" i="25"/>
  <c r="O326" i="25"/>
  <c r="O325" i="25"/>
  <c r="O324" i="25"/>
  <c r="O323" i="25"/>
  <c r="O322" i="25"/>
  <c r="O321" i="25"/>
  <c r="O320" i="25"/>
  <c r="O319" i="25"/>
  <c r="O318" i="25"/>
  <c r="O317" i="25"/>
  <c r="O316" i="25"/>
  <c r="O315" i="25"/>
  <c r="O314" i="25"/>
  <c r="O313" i="25"/>
  <c r="O312" i="25"/>
  <c r="O311" i="25"/>
  <c r="O310" i="25"/>
  <c r="O309" i="25"/>
  <c r="O308" i="25"/>
  <c r="O307" i="25"/>
  <c r="O306" i="25"/>
  <c r="O305" i="25"/>
  <c r="O304" i="25"/>
  <c r="O303" i="25"/>
  <c r="O302" i="25"/>
  <c r="O301" i="25"/>
  <c r="O300" i="25"/>
  <c r="O299" i="25"/>
  <c r="O298" i="25"/>
  <c r="O297" i="25"/>
  <c r="O296" i="25"/>
  <c r="O295" i="25"/>
  <c r="O294" i="25"/>
  <c r="O293" i="25"/>
  <c r="O292" i="25"/>
  <c r="O291" i="25"/>
  <c r="O290" i="25"/>
  <c r="O289" i="25"/>
  <c r="O288" i="25"/>
  <c r="O287" i="25"/>
  <c r="O286" i="25"/>
  <c r="O285" i="25"/>
  <c r="O284" i="25"/>
  <c r="O283" i="25"/>
  <c r="O282" i="25"/>
  <c r="O281" i="25"/>
  <c r="O280" i="25"/>
  <c r="O279" i="25"/>
  <c r="O278" i="25"/>
  <c r="O277" i="25"/>
  <c r="O276" i="25"/>
  <c r="O275" i="25"/>
  <c r="O274" i="25"/>
  <c r="O273" i="25"/>
  <c r="O272" i="25"/>
  <c r="O271" i="25"/>
  <c r="O270" i="25"/>
  <c r="O269" i="25"/>
  <c r="O268" i="25"/>
  <c r="O267" i="25"/>
  <c r="O266" i="25"/>
  <c r="O265" i="25"/>
  <c r="O264" i="25"/>
  <c r="O263" i="25"/>
  <c r="O262" i="25"/>
  <c r="O261" i="25"/>
  <c r="O260" i="25"/>
  <c r="O259" i="25"/>
  <c r="O258" i="25"/>
  <c r="O257" i="25"/>
  <c r="O256" i="25"/>
  <c r="O255" i="25"/>
  <c r="O254" i="25"/>
  <c r="O253" i="25"/>
  <c r="O252" i="25"/>
  <c r="O251" i="25"/>
  <c r="O250" i="25"/>
  <c r="O249" i="25"/>
  <c r="O248" i="25"/>
  <c r="O247" i="25"/>
  <c r="O246" i="25"/>
  <c r="O245" i="25"/>
  <c r="O244" i="25"/>
  <c r="O243" i="25"/>
  <c r="O242" i="25"/>
  <c r="O241" i="25"/>
  <c r="O240" i="25"/>
  <c r="O239" i="25"/>
  <c r="O238" i="25"/>
  <c r="O237" i="25"/>
  <c r="O236" i="25"/>
  <c r="O235" i="25"/>
  <c r="O234" i="25"/>
  <c r="O233" i="25"/>
  <c r="O232" i="25"/>
  <c r="O231" i="25"/>
  <c r="O230" i="25"/>
  <c r="O229" i="25"/>
  <c r="O228" i="25"/>
  <c r="O227" i="25"/>
  <c r="O226" i="25"/>
  <c r="O225" i="25"/>
  <c r="O224" i="25"/>
  <c r="O223" i="25"/>
  <c r="O222" i="25"/>
  <c r="O221" i="25"/>
  <c r="O220" i="25" l="1"/>
  <c r="O219" i="25"/>
  <c r="O218" i="25"/>
  <c r="O217" i="25"/>
  <c r="O216" i="25"/>
  <c r="O215" i="25"/>
  <c r="O214" i="25"/>
  <c r="O213" i="25"/>
  <c r="O212" i="25"/>
  <c r="O211" i="25"/>
  <c r="O210" i="25"/>
  <c r="O209" i="25"/>
  <c r="O208" i="25"/>
  <c r="O207" i="25"/>
  <c r="O206" i="25"/>
  <c r="O205" i="25"/>
  <c r="O204" i="25"/>
  <c r="O203" i="25"/>
  <c r="O202" i="25"/>
  <c r="O201" i="25"/>
  <c r="O200" i="25"/>
  <c r="O199" i="25"/>
  <c r="O198" i="25"/>
  <c r="O197" i="25"/>
  <c r="O196" i="25"/>
  <c r="O195" i="25"/>
  <c r="O194" i="25"/>
  <c r="O193" i="25"/>
  <c r="O192" i="25"/>
  <c r="O191" i="25"/>
  <c r="O190" i="25"/>
  <c r="O189" i="25"/>
  <c r="O188" i="25"/>
  <c r="O187" i="25"/>
  <c r="O186" i="25"/>
  <c r="O185" i="25"/>
  <c r="O184" i="25"/>
  <c r="O183" i="25"/>
  <c r="O182" i="25"/>
  <c r="O181" i="25"/>
  <c r="O180" i="25"/>
  <c r="O179" i="25"/>
  <c r="O178" i="25"/>
  <c r="O177" i="25"/>
  <c r="O176" i="25"/>
  <c r="O175" i="25"/>
  <c r="O174" i="25"/>
  <c r="O173" i="25"/>
  <c r="O172" i="25"/>
  <c r="O171" i="25"/>
  <c r="O170" i="25"/>
  <c r="O169" i="25"/>
  <c r="O168" i="25"/>
  <c r="O167" i="25"/>
  <c r="O166" i="25"/>
  <c r="O165" i="25"/>
  <c r="O164" i="25"/>
  <c r="O163" i="25"/>
  <c r="O162" i="25"/>
  <c r="O161" i="25"/>
  <c r="O160" i="25"/>
  <c r="O159" i="25"/>
  <c r="O158" i="25"/>
  <c r="O157" i="25"/>
  <c r="O156" i="25"/>
  <c r="O155" i="25"/>
  <c r="O154" i="25"/>
  <c r="O153" i="25"/>
  <c r="O152" i="25"/>
  <c r="O151" i="25"/>
  <c r="O150" i="25"/>
  <c r="O149" i="25"/>
  <c r="O148" i="25"/>
  <c r="O147" i="25"/>
  <c r="O146" i="25"/>
  <c r="O145" i="25"/>
  <c r="O144" i="25"/>
  <c r="O143" i="25"/>
  <c r="O142" i="25"/>
  <c r="O141" i="25"/>
  <c r="O140" i="25"/>
  <c r="O139" i="25"/>
  <c r="O138" i="25"/>
  <c r="O137" i="25"/>
  <c r="O136" i="25"/>
  <c r="O135" i="25"/>
  <c r="O134" i="25"/>
  <c r="O133" i="25"/>
  <c r="O132" i="25"/>
  <c r="O131" i="25"/>
  <c r="O130" i="25"/>
  <c r="O129" i="25"/>
  <c r="O128" i="25"/>
  <c r="O127" i="25"/>
  <c r="O126" i="25"/>
  <c r="O125" i="25"/>
  <c r="O124" i="25"/>
  <c r="O123" i="25"/>
  <c r="O122" i="25"/>
  <c r="O121" i="25"/>
  <c r="O120" i="25"/>
  <c r="O119" i="25"/>
  <c r="O118" i="25"/>
  <c r="O117" i="25"/>
  <c r="O116" i="25"/>
  <c r="O115" i="25"/>
  <c r="O114" i="25"/>
  <c r="O113" i="25"/>
  <c r="O112" i="25"/>
  <c r="O111" i="25"/>
  <c r="O110" i="25"/>
  <c r="O109" i="25"/>
  <c r="O108" i="25"/>
  <c r="O107" i="25"/>
  <c r="O106" i="25"/>
  <c r="O105" i="25"/>
  <c r="O104" i="25"/>
  <c r="O103" i="25"/>
  <c r="O102" i="25"/>
  <c r="O101" i="25"/>
  <c r="O100" i="25"/>
  <c r="O99" i="25"/>
  <c r="O98" i="25"/>
  <c r="O97" i="25"/>
  <c r="O96" i="25"/>
  <c r="O95" i="25"/>
  <c r="O94" i="25"/>
  <c r="O93" i="25"/>
  <c r="O92" i="25"/>
  <c r="O91" i="25"/>
  <c r="O90" i="25"/>
  <c r="O89" i="25"/>
  <c r="O88" i="25"/>
  <c r="O87" i="25"/>
  <c r="O86" i="25"/>
  <c r="O85" i="25"/>
  <c r="O84" i="25"/>
  <c r="O83" i="25"/>
  <c r="O82" i="25"/>
  <c r="O81" i="25"/>
  <c r="O80" i="25"/>
  <c r="O79" i="25"/>
  <c r="O78" i="25"/>
  <c r="O77" i="25"/>
  <c r="O76" i="25"/>
  <c r="O75" i="25"/>
  <c r="O74" i="25"/>
  <c r="O73" i="25"/>
  <c r="O72" i="25"/>
  <c r="O71" i="25"/>
  <c r="O70" i="25"/>
  <c r="O69" i="25"/>
  <c r="O68" i="25"/>
  <c r="O67" i="25"/>
  <c r="O66" i="25"/>
  <c r="O65" i="25"/>
  <c r="O64" i="25"/>
  <c r="O63" i="25"/>
  <c r="O62" i="25"/>
  <c r="O61" i="25"/>
  <c r="O60" i="25"/>
  <c r="O59" i="25"/>
  <c r="O58" i="25"/>
  <c r="O57" i="25"/>
  <c r="O56" i="25"/>
  <c r="O55" i="25"/>
  <c r="O54" i="25"/>
  <c r="O53" i="25"/>
  <c r="O52" i="25"/>
  <c r="O51" i="25"/>
  <c r="O50" i="25"/>
  <c r="O49" i="25"/>
  <c r="O48" i="25"/>
  <c r="O47" i="25"/>
  <c r="O46" i="25"/>
  <c r="O45" i="25"/>
  <c r="O44" i="25"/>
  <c r="O43" i="25"/>
  <c r="O42" i="25"/>
  <c r="O41" i="25"/>
  <c r="O40" i="25"/>
  <c r="O39" i="25"/>
  <c r="O38" i="25"/>
  <c r="O37" i="25"/>
  <c r="O36" i="25"/>
  <c r="O35" i="25"/>
  <c r="O34" i="25"/>
  <c r="O33" i="25"/>
  <c r="O32" i="25"/>
  <c r="O31" i="25"/>
  <c r="O30" i="25"/>
  <c r="O29" i="25"/>
  <c r="O28" i="25"/>
  <c r="O27" i="25"/>
  <c r="O26" i="25"/>
  <c r="O25" i="25"/>
  <c r="O24" i="25"/>
  <c r="O23" i="25"/>
  <c r="O22" i="25"/>
  <c r="O21" i="25"/>
  <c r="O20" i="25"/>
  <c r="O19" i="25"/>
  <c r="O18" i="25"/>
  <c r="O17" i="25"/>
  <c r="O16" i="25"/>
  <c r="O15" i="25"/>
  <c r="O14" i="25"/>
  <c r="O13" i="25"/>
  <c r="O12" i="25"/>
  <c r="O11" i="25"/>
  <c r="O10" i="25"/>
  <c r="O9" i="25"/>
  <c r="O8" i="25"/>
  <c r="O7" i="25"/>
  <c r="O6" i="25"/>
  <c r="O5" i="25"/>
  <c r="P150" i="25"/>
  <c r="Q150" i="25"/>
  <c r="P151" i="25"/>
  <c r="Q151" i="25"/>
  <c r="P152" i="25"/>
  <c r="Q152" i="25"/>
  <c r="P153" i="25"/>
  <c r="Q153" i="25"/>
  <c r="P154" i="25"/>
  <c r="Q154" i="25"/>
  <c r="P155" i="25"/>
  <c r="Q155" i="25"/>
  <c r="P156" i="25"/>
  <c r="Q156" i="25"/>
  <c r="P157" i="25"/>
  <c r="Q157" i="25"/>
  <c r="P158" i="25"/>
  <c r="Q158" i="25"/>
  <c r="P159" i="25"/>
  <c r="Q159" i="25"/>
  <c r="P160" i="25"/>
  <c r="Q160" i="25"/>
  <c r="P161" i="25"/>
  <c r="Q161" i="25"/>
  <c r="P162" i="25"/>
  <c r="Q162" i="25"/>
  <c r="P149" i="25"/>
  <c r="Q149" i="25"/>
  <c r="U485" i="25" l="1"/>
  <c r="U486" i="25"/>
  <c r="P485" i="25"/>
  <c r="Q485" i="25" s="1"/>
  <c r="R485" i="25" s="1"/>
  <c r="S485" i="25" s="1"/>
  <c r="U449" i="25"/>
  <c r="U450" i="25"/>
  <c r="P450" i="25"/>
  <c r="Q450" i="25" s="1"/>
  <c r="R450" i="25" s="1"/>
  <c r="S450" i="25" s="1"/>
  <c r="U413" i="25"/>
  <c r="U414" i="25"/>
  <c r="U377" i="25"/>
  <c r="U378" i="25"/>
  <c r="P377" i="25"/>
  <c r="Q377" i="25" s="1"/>
  <c r="R377" i="25" s="1"/>
  <c r="S377" i="25" s="1"/>
  <c r="P378" i="25"/>
  <c r="Q378" i="25" s="1"/>
  <c r="R378" i="25" s="1"/>
  <c r="S378" i="25" s="1"/>
  <c r="U341" i="25"/>
  <c r="U342" i="25"/>
  <c r="P341" i="25"/>
  <c r="Q341" i="25" s="1"/>
  <c r="R341" i="25" s="1"/>
  <c r="S341" i="25" s="1"/>
  <c r="U305" i="25"/>
  <c r="U306" i="25"/>
  <c r="P306" i="25"/>
  <c r="Q306" i="25" s="1"/>
  <c r="R306" i="25" s="1"/>
  <c r="S306" i="25" s="1"/>
  <c r="U269" i="25"/>
  <c r="U270" i="25"/>
  <c r="P270" i="25"/>
  <c r="Q270" i="25" s="1"/>
  <c r="R270" i="25" s="1"/>
  <c r="S270" i="25" s="1"/>
  <c r="U233" i="25"/>
  <c r="U234" i="25"/>
  <c r="P234" i="25"/>
  <c r="Q234" i="25" s="1"/>
  <c r="R234" i="25" s="1"/>
  <c r="S234" i="25" s="1"/>
  <c r="U197" i="25"/>
  <c r="U198" i="25"/>
  <c r="P197" i="25"/>
  <c r="Q197" i="25"/>
  <c r="R197" i="25" s="1"/>
  <c r="S197" i="25" s="1"/>
  <c r="P198" i="25"/>
  <c r="Q198" i="25"/>
  <c r="R198" i="25" s="1"/>
  <c r="S198" i="25" s="1"/>
  <c r="U161" i="25"/>
  <c r="U162" i="25"/>
  <c r="R162" i="25"/>
  <c r="S162" i="25" s="1"/>
  <c r="U125" i="25"/>
  <c r="U126" i="25"/>
  <c r="U89" i="25"/>
  <c r="U90" i="25"/>
  <c r="U53" i="25"/>
  <c r="U54" i="25"/>
  <c r="U18" i="25"/>
  <c r="U17" i="25"/>
  <c r="P125" i="25"/>
  <c r="Q125" i="25"/>
  <c r="R125" i="25"/>
  <c r="S125" i="25"/>
  <c r="P126" i="25"/>
  <c r="Q126" i="25"/>
  <c r="R126" i="25"/>
  <c r="S126" i="25"/>
  <c r="P89" i="25"/>
  <c r="Q89" i="25"/>
  <c r="R89" i="25"/>
  <c r="S89" i="25"/>
  <c r="P90" i="25"/>
  <c r="Q90" i="25"/>
  <c r="R90" i="25"/>
  <c r="S90" i="25"/>
  <c r="P53" i="25"/>
  <c r="Q53" i="25"/>
  <c r="R53" i="25"/>
  <c r="S53" i="25"/>
  <c r="P54" i="25"/>
  <c r="Q54" i="25"/>
  <c r="R54" i="25"/>
  <c r="S54" i="25"/>
  <c r="P17" i="25"/>
  <c r="Q17" i="25"/>
  <c r="R17" i="25"/>
  <c r="S17" i="25"/>
  <c r="P18" i="25"/>
  <c r="Q18" i="25"/>
  <c r="R18" i="25"/>
  <c r="S18" i="25"/>
  <c r="P5" i="25"/>
  <c r="Q5" i="25"/>
  <c r="R5" i="25"/>
  <c r="S5" i="25"/>
  <c r="U5" i="25"/>
  <c r="P6" i="25"/>
  <c r="Q6" i="25"/>
  <c r="R6" i="25"/>
  <c r="S6" i="25"/>
  <c r="U6" i="25"/>
  <c r="P7" i="25"/>
  <c r="Q7" i="25"/>
  <c r="R7" i="25"/>
  <c r="S7" i="25"/>
  <c r="U7" i="25"/>
  <c r="P8" i="25"/>
  <c r="Q8" i="25"/>
  <c r="R8" i="25"/>
  <c r="S8" i="25"/>
  <c r="U8" i="25"/>
  <c r="P9" i="25"/>
  <c r="Q9" i="25"/>
  <c r="R9" i="25"/>
  <c r="S9" i="25"/>
  <c r="U9" i="25"/>
  <c r="P10" i="25"/>
  <c r="Q10" i="25"/>
  <c r="R10" i="25"/>
  <c r="S10" i="25"/>
  <c r="U10" i="25"/>
  <c r="P11" i="25"/>
  <c r="Q11" i="25"/>
  <c r="R11" i="25"/>
  <c r="S11" i="25"/>
  <c r="U11" i="25"/>
  <c r="P12" i="25"/>
  <c r="Q12" i="25"/>
  <c r="R12" i="25"/>
  <c r="S12" i="25"/>
  <c r="U12" i="25"/>
  <c r="P13" i="25"/>
  <c r="Q13" i="25"/>
  <c r="R13" i="25"/>
  <c r="S13" i="25"/>
  <c r="U13" i="25"/>
  <c r="P14" i="25"/>
  <c r="Q14" i="25"/>
  <c r="R14" i="25"/>
  <c r="S14" i="25"/>
  <c r="U14" i="25"/>
  <c r="P15" i="25"/>
  <c r="Q15" i="25"/>
  <c r="R15" i="25"/>
  <c r="S15" i="25"/>
  <c r="U15" i="25"/>
  <c r="P16" i="25"/>
  <c r="Q16" i="25"/>
  <c r="R16" i="25"/>
  <c r="S16" i="25"/>
  <c r="U16" i="25"/>
  <c r="P19" i="25"/>
  <c r="Q19" i="25"/>
  <c r="R19" i="25"/>
  <c r="S19" i="25"/>
  <c r="U19" i="25"/>
  <c r="P20" i="25"/>
  <c r="Q20" i="25"/>
  <c r="R20" i="25"/>
  <c r="S20" i="25"/>
  <c r="U20" i="25"/>
  <c r="P21" i="25"/>
  <c r="Q21" i="25"/>
  <c r="R21" i="25"/>
  <c r="S21" i="25"/>
  <c r="U21" i="25"/>
  <c r="P22" i="25"/>
  <c r="Q22" i="25"/>
  <c r="R22" i="25"/>
  <c r="S22" i="25"/>
  <c r="U22" i="25"/>
  <c r="P23" i="25"/>
  <c r="Q23" i="25"/>
  <c r="R23" i="25"/>
  <c r="S23" i="25"/>
  <c r="U23" i="25"/>
  <c r="P24" i="25"/>
  <c r="Q24" i="25"/>
  <c r="R24" i="25"/>
  <c r="S24" i="25"/>
  <c r="U24" i="25"/>
  <c r="P25" i="25"/>
  <c r="Q25" i="25"/>
  <c r="R25" i="25"/>
  <c r="S25" i="25"/>
  <c r="U25" i="25"/>
  <c r="P26" i="25"/>
  <c r="Q26" i="25"/>
  <c r="R26" i="25"/>
  <c r="S26" i="25"/>
  <c r="U26" i="25"/>
  <c r="P27" i="25"/>
  <c r="Q27" i="25"/>
  <c r="R27" i="25"/>
  <c r="S27" i="25"/>
  <c r="U27" i="25"/>
  <c r="P28" i="25"/>
  <c r="Q28" i="25"/>
  <c r="R28" i="25"/>
  <c r="S28" i="25"/>
  <c r="U28" i="25"/>
  <c r="P29" i="25"/>
  <c r="Q29" i="25"/>
  <c r="R29" i="25"/>
  <c r="S29" i="25"/>
  <c r="U29" i="25"/>
  <c r="P30" i="25"/>
  <c r="Q30" i="25"/>
  <c r="R30" i="25"/>
  <c r="S30" i="25"/>
  <c r="U30" i="25"/>
  <c r="P31" i="25"/>
  <c r="Q31" i="25"/>
  <c r="R31" i="25"/>
  <c r="S31" i="25"/>
  <c r="U31" i="25"/>
  <c r="P32" i="25"/>
  <c r="Q32" i="25"/>
  <c r="R32" i="25"/>
  <c r="S32" i="25"/>
  <c r="U32" i="25"/>
  <c r="P33" i="25"/>
  <c r="Q33" i="25"/>
  <c r="R33" i="25"/>
  <c r="S33" i="25"/>
  <c r="U33" i="25"/>
  <c r="P34" i="25"/>
  <c r="Q34" i="25"/>
  <c r="R34" i="25"/>
  <c r="S34" i="25"/>
  <c r="U34" i="25"/>
  <c r="P35" i="25"/>
  <c r="Q35" i="25"/>
  <c r="R35" i="25"/>
  <c r="S35" i="25"/>
  <c r="U35" i="25"/>
  <c r="P36" i="25"/>
  <c r="Q36" i="25"/>
  <c r="R36" i="25"/>
  <c r="S36" i="25"/>
  <c r="U36" i="25"/>
  <c r="P37" i="25"/>
  <c r="Q37" i="25"/>
  <c r="R37" i="25"/>
  <c r="S37" i="25"/>
  <c r="U37" i="25"/>
  <c r="P38" i="25"/>
  <c r="Q38" i="25"/>
  <c r="R38" i="25"/>
  <c r="S38" i="25"/>
  <c r="U38" i="25"/>
  <c r="P39" i="25"/>
  <c r="Q39" i="25"/>
  <c r="R39" i="25"/>
  <c r="S39" i="25"/>
  <c r="U39" i="25"/>
  <c r="P40" i="25"/>
  <c r="Q40" i="25"/>
  <c r="R40" i="25"/>
  <c r="S40" i="25"/>
  <c r="U40" i="25"/>
  <c r="P41" i="25"/>
  <c r="Q41" i="25"/>
  <c r="R41" i="25"/>
  <c r="S41" i="25"/>
  <c r="U41" i="25"/>
  <c r="P42" i="25"/>
  <c r="Q42" i="25"/>
  <c r="R42" i="25"/>
  <c r="S42" i="25"/>
  <c r="U42" i="25"/>
  <c r="P43" i="25"/>
  <c r="Q43" i="25"/>
  <c r="R43" i="25"/>
  <c r="S43" i="25"/>
  <c r="U43" i="25"/>
  <c r="P44" i="25"/>
  <c r="Q44" i="25"/>
  <c r="R44" i="25"/>
  <c r="S44" i="25"/>
  <c r="U44" i="25"/>
  <c r="P45" i="25"/>
  <c r="Q45" i="25"/>
  <c r="R45" i="25"/>
  <c r="S45" i="25"/>
  <c r="U45" i="25"/>
  <c r="P46" i="25"/>
  <c r="Q46" i="25"/>
  <c r="R46" i="25"/>
  <c r="S46" i="25"/>
  <c r="U46" i="25"/>
  <c r="P47" i="25"/>
  <c r="Q47" i="25"/>
  <c r="R47" i="25"/>
  <c r="S47" i="25"/>
  <c r="U47" i="25"/>
  <c r="P48" i="25"/>
  <c r="Q48" i="25"/>
  <c r="R48" i="25"/>
  <c r="S48" i="25"/>
  <c r="U48" i="25"/>
  <c r="P49" i="25"/>
  <c r="Q49" i="25"/>
  <c r="R49" i="25"/>
  <c r="S49" i="25"/>
  <c r="U49" i="25"/>
  <c r="P50" i="25"/>
  <c r="Q50" i="25"/>
  <c r="R50" i="25"/>
  <c r="S50" i="25"/>
  <c r="U50" i="25"/>
  <c r="P51" i="25"/>
  <c r="Q51" i="25"/>
  <c r="R51" i="25"/>
  <c r="S51" i="25"/>
  <c r="U51" i="25"/>
  <c r="P52" i="25"/>
  <c r="Q52" i="25"/>
  <c r="R52" i="25"/>
  <c r="S52" i="25"/>
  <c r="U52" i="25"/>
  <c r="P55" i="25"/>
  <c r="Q55" i="25"/>
  <c r="R55" i="25"/>
  <c r="S55" i="25"/>
  <c r="U55" i="25"/>
  <c r="P56" i="25"/>
  <c r="Q56" i="25"/>
  <c r="R56" i="25"/>
  <c r="S56" i="25"/>
  <c r="U56" i="25"/>
  <c r="P57" i="25"/>
  <c r="Q57" i="25"/>
  <c r="R57" i="25"/>
  <c r="S57" i="25"/>
  <c r="U57" i="25"/>
  <c r="P58" i="25"/>
  <c r="Q58" i="25"/>
  <c r="R58" i="25"/>
  <c r="S58" i="25"/>
  <c r="U58" i="25"/>
  <c r="P59" i="25"/>
  <c r="Q59" i="25"/>
  <c r="R59" i="25"/>
  <c r="S59" i="25"/>
  <c r="U59" i="25"/>
  <c r="P60" i="25"/>
  <c r="Q60" i="25"/>
  <c r="R60" i="25"/>
  <c r="S60" i="25"/>
  <c r="U60" i="25"/>
  <c r="P61" i="25"/>
  <c r="Q61" i="25"/>
  <c r="R61" i="25"/>
  <c r="S61" i="25"/>
  <c r="U61" i="25"/>
  <c r="P62" i="25"/>
  <c r="Q62" i="25"/>
  <c r="R62" i="25"/>
  <c r="S62" i="25"/>
  <c r="U62" i="25"/>
  <c r="P63" i="25"/>
  <c r="Q63" i="25"/>
  <c r="R63" i="25"/>
  <c r="S63" i="25"/>
  <c r="U63" i="25"/>
  <c r="P64" i="25"/>
  <c r="Q64" i="25"/>
  <c r="R64" i="25"/>
  <c r="S64" i="25"/>
  <c r="U64" i="25"/>
  <c r="P65" i="25"/>
  <c r="Q65" i="25"/>
  <c r="R65" i="25"/>
  <c r="S65" i="25"/>
  <c r="U65" i="25"/>
  <c r="P66" i="25"/>
  <c r="Q66" i="25"/>
  <c r="R66" i="25"/>
  <c r="S66" i="25"/>
  <c r="U66" i="25"/>
  <c r="P67" i="25"/>
  <c r="Q67" i="25"/>
  <c r="R67" i="25"/>
  <c r="S67" i="25"/>
  <c r="U67" i="25"/>
  <c r="P68" i="25"/>
  <c r="Q68" i="25"/>
  <c r="R68" i="25"/>
  <c r="S68" i="25"/>
  <c r="U68" i="25"/>
  <c r="P69" i="25"/>
  <c r="Q69" i="25"/>
  <c r="R69" i="25"/>
  <c r="S69" i="25"/>
  <c r="U69" i="25"/>
  <c r="P70" i="25"/>
  <c r="Q70" i="25"/>
  <c r="R70" i="25"/>
  <c r="S70" i="25"/>
  <c r="U70" i="25"/>
  <c r="P71" i="25"/>
  <c r="Q71" i="25"/>
  <c r="R71" i="25"/>
  <c r="S71" i="25"/>
  <c r="U71" i="25"/>
  <c r="P72" i="25"/>
  <c r="Q72" i="25"/>
  <c r="R72" i="25"/>
  <c r="S72" i="25"/>
  <c r="U72" i="25"/>
  <c r="P73" i="25"/>
  <c r="Q73" i="25"/>
  <c r="R73" i="25"/>
  <c r="S73" i="25"/>
  <c r="U73" i="25"/>
  <c r="P74" i="25"/>
  <c r="Q74" i="25"/>
  <c r="R74" i="25"/>
  <c r="S74" i="25"/>
  <c r="U74" i="25"/>
  <c r="P75" i="25"/>
  <c r="Q75" i="25"/>
  <c r="R75" i="25"/>
  <c r="S75" i="25"/>
  <c r="U75" i="25"/>
  <c r="P76" i="25"/>
  <c r="Q76" i="25"/>
  <c r="R76" i="25"/>
  <c r="S76" i="25"/>
  <c r="U76" i="25"/>
  <c r="P77" i="25"/>
  <c r="Q77" i="25"/>
  <c r="R77" i="25"/>
  <c r="S77" i="25"/>
  <c r="U77" i="25"/>
  <c r="P78" i="25"/>
  <c r="Q78" i="25"/>
  <c r="R78" i="25"/>
  <c r="S78" i="25"/>
  <c r="U78" i="25"/>
  <c r="P79" i="25"/>
  <c r="Q79" i="25"/>
  <c r="R79" i="25"/>
  <c r="S79" i="25"/>
  <c r="U79" i="25"/>
  <c r="P80" i="25"/>
  <c r="Q80" i="25"/>
  <c r="R80" i="25"/>
  <c r="S80" i="25"/>
  <c r="U80" i="25"/>
  <c r="P81" i="25"/>
  <c r="Q81" i="25"/>
  <c r="R81" i="25"/>
  <c r="S81" i="25"/>
  <c r="U81" i="25"/>
  <c r="P82" i="25"/>
  <c r="Q82" i="25"/>
  <c r="R82" i="25"/>
  <c r="S82" i="25"/>
  <c r="U82" i="25"/>
  <c r="P83" i="25"/>
  <c r="Q83" i="25"/>
  <c r="R83" i="25"/>
  <c r="S83" i="25"/>
  <c r="U83" i="25"/>
  <c r="P84" i="25"/>
  <c r="Q84" i="25"/>
  <c r="R84" i="25"/>
  <c r="S84" i="25"/>
  <c r="U84" i="25"/>
  <c r="P85" i="25"/>
  <c r="Q85" i="25"/>
  <c r="R85" i="25"/>
  <c r="S85" i="25"/>
  <c r="U85" i="25"/>
  <c r="P86" i="25"/>
  <c r="Q86" i="25"/>
  <c r="R86" i="25"/>
  <c r="S86" i="25"/>
  <c r="U86" i="25"/>
  <c r="P87" i="25"/>
  <c r="Q87" i="25"/>
  <c r="R87" i="25"/>
  <c r="S87" i="25"/>
  <c r="U87" i="25"/>
  <c r="P88" i="25"/>
  <c r="Q88" i="25"/>
  <c r="R88" i="25"/>
  <c r="S88" i="25"/>
  <c r="U88" i="25"/>
  <c r="P91" i="25"/>
  <c r="Q91" i="25"/>
  <c r="R91" i="25"/>
  <c r="S91" i="25"/>
  <c r="U91" i="25"/>
  <c r="P92" i="25"/>
  <c r="Q92" i="25"/>
  <c r="R92" i="25"/>
  <c r="S92" i="25"/>
  <c r="U92" i="25"/>
  <c r="P93" i="25"/>
  <c r="Q93" i="25"/>
  <c r="R93" i="25"/>
  <c r="S93" i="25"/>
  <c r="U93" i="25"/>
  <c r="P94" i="25"/>
  <c r="Q94" i="25"/>
  <c r="R94" i="25"/>
  <c r="S94" i="25"/>
  <c r="U94" i="25"/>
  <c r="P95" i="25"/>
  <c r="Q95" i="25"/>
  <c r="R95" i="25"/>
  <c r="S95" i="25"/>
  <c r="U95" i="25"/>
  <c r="P96" i="25"/>
  <c r="Q96" i="25"/>
  <c r="R96" i="25"/>
  <c r="S96" i="25"/>
  <c r="U96" i="25"/>
  <c r="P97" i="25"/>
  <c r="Q97" i="25"/>
  <c r="R97" i="25"/>
  <c r="S97" i="25"/>
  <c r="U97" i="25"/>
  <c r="P98" i="25"/>
  <c r="Q98" i="25"/>
  <c r="R98" i="25"/>
  <c r="S98" i="25"/>
  <c r="U98" i="25"/>
  <c r="P99" i="25"/>
  <c r="Q99" i="25"/>
  <c r="R99" i="25"/>
  <c r="S99" i="25"/>
  <c r="U99" i="25"/>
  <c r="P100" i="25"/>
  <c r="Q100" i="25"/>
  <c r="R100" i="25"/>
  <c r="S100" i="25"/>
  <c r="U100" i="25"/>
  <c r="P101" i="25"/>
  <c r="Q101" i="25"/>
  <c r="R101" i="25"/>
  <c r="S101" i="25"/>
  <c r="U101" i="25"/>
  <c r="P102" i="25"/>
  <c r="Q102" i="25"/>
  <c r="R102" i="25"/>
  <c r="S102" i="25"/>
  <c r="U102" i="25"/>
  <c r="P103" i="25"/>
  <c r="Q103" i="25"/>
  <c r="R103" i="25"/>
  <c r="S103" i="25"/>
  <c r="U103" i="25"/>
  <c r="P104" i="25"/>
  <c r="Q104" i="25"/>
  <c r="R104" i="25"/>
  <c r="S104" i="25"/>
  <c r="U104" i="25"/>
  <c r="P105" i="25"/>
  <c r="Q105" i="25"/>
  <c r="R105" i="25"/>
  <c r="S105" i="25"/>
  <c r="U105" i="25"/>
  <c r="P106" i="25"/>
  <c r="Q106" i="25"/>
  <c r="R106" i="25"/>
  <c r="S106" i="25"/>
  <c r="U106" i="25"/>
  <c r="P107" i="25"/>
  <c r="Q107" i="25"/>
  <c r="R107" i="25"/>
  <c r="S107" i="25"/>
  <c r="U107" i="25"/>
  <c r="P108" i="25"/>
  <c r="Q108" i="25"/>
  <c r="R108" i="25"/>
  <c r="S108" i="25"/>
  <c r="U108" i="25"/>
  <c r="P109" i="25"/>
  <c r="Q109" i="25"/>
  <c r="R109" i="25"/>
  <c r="S109" i="25"/>
  <c r="U109" i="25"/>
  <c r="P110" i="25"/>
  <c r="Q110" i="25"/>
  <c r="R110" i="25"/>
  <c r="S110" i="25"/>
  <c r="U110" i="25"/>
  <c r="P111" i="25"/>
  <c r="Q111" i="25"/>
  <c r="R111" i="25"/>
  <c r="S111" i="25"/>
  <c r="U111" i="25"/>
  <c r="P112" i="25"/>
  <c r="Q112" i="25"/>
  <c r="R112" i="25"/>
  <c r="S112" i="25"/>
  <c r="U112" i="25"/>
  <c r="P113" i="25"/>
  <c r="Q113" i="25"/>
  <c r="R113" i="25"/>
  <c r="S113" i="25"/>
  <c r="U113" i="25"/>
  <c r="P114" i="25"/>
  <c r="Q114" i="25"/>
  <c r="R114" i="25"/>
  <c r="S114" i="25"/>
  <c r="U114" i="25"/>
  <c r="P115" i="25"/>
  <c r="Q115" i="25"/>
  <c r="R115" i="25"/>
  <c r="S115" i="25"/>
  <c r="U115" i="25"/>
  <c r="P116" i="25"/>
  <c r="Q116" i="25"/>
  <c r="R116" i="25"/>
  <c r="S116" i="25"/>
  <c r="U116" i="25"/>
  <c r="P117" i="25"/>
  <c r="Q117" i="25"/>
  <c r="R117" i="25"/>
  <c r="S117" i="25"/>
  <c r="U117" i="25"/>
  <c r="P118" i="25"/>
  <c r="Q118" i="25"/>
  <c r="R118" i="25"/>
  <c r="S118" i="25"/>
  <c r="U118" i="25"/>
  <c r="P119" i="25"/>
  <c r="Q119" i="25"/>
  <c r="R119" i="25"/>
  <c r="S119" i="25"/>
  <c r="U119" i="25"/>
  <c r="P120" i="25"/>
  <c r="Q120" i="25"/>
  <c r="R120" i="25"/>
  <c r="S120" i="25"/>
  <c r="U120" i="25"/>
  <c r="P121" i="25"/>
  <c r="Q121" i="25"/>
  <c r="R121" i="25"/>
  <c r="S121" i="25"/>
  <c r="U121" i="25"/>
  <c r="P122" i="25"/>
  <c r="Q122" i="25"/>
  <c r="R122" i="25"/>
  <c r="S122" i="25"/>
  <c r="U122" i="25"/>
  <c r="P123" i="25"/>
  <c r="Q123" i="25"/>
  <c r="R123" i="25"/>
  <c r="S123" i="25"/>
  <c r="U123" i="25"/>
  <c r="P124" i="25"/>
  <c r="Q124" i="25"/>
  <c r="R124" i="25"/>
  <c r="S124" i="25"/>
  <c r="U124" i="25"/>
  <c r="P127" i="25"/>
  <c r="Q127" i="25"/>
  <c r="R127" i="25"/>
  <c r="S127" i="25"/>
  <c r="U127" i="25"/>
  <c r="P128" i="25"/>
  <c r="Q128" i="25"/>
  <c r="R128" i="25"/>
  <c r="S128" i="25"/>
  <c r="U128" i="25"/>
  <c r="P129" i="25"/>
  <c r="Q129" i="25"/>
  <c r="R129" i="25"/>
  <c r="S129" i="25"/>
  <c r="U129" i="25"/>
  <c r="P130" i="25"/>
  <c r="Q130" i="25"/>
  <c r="R130" i="25"/>
  <c r="S130" i="25"/>
  <c r="U130" i="25"/>
  <c r="P131" i="25"/>
  <c r="Q131" i="25"/>
  <c r="R131" i="25"/>
  <c r="S131" i="25"/>
  <c r="U131" i="25"/>
  <c r="P132" i="25"/>
  <c r="Q132" i="25"/>
  <c r="R132" i="25"/>
  <c r="S132" i="25"/>
  <c r="U132" i="25"/>
  <c r="P133" i="25"/>
  <c r="Q133" i="25"/>
  <c r="R133" i="25"/>
  <c r="S133" i="25"/>
  <c r="U133" i="25"/>
  <c r="P134" i="25"/>
  <c r="Q134" i="25"/>
  <c r="R134" i="25"/>
  <c r="S134" i="25"/>
  <c r="U134" i="25"/>
  <c r="P135" i="25"/>
  <c r="Q135" i="25"/>
  <c r="R135" i="25"/>
  <c r="S135" i="25"/>
  <c r="U135" i="25"/>
  <c r="P136" i="25"/>
  <c r="Q136" i="25"/>
  <c r="R136" i="25"/>
  <c r="S136" i="25"/>
  <c r="U136" i="25"/>
  <c r="P137" i="25"/>
  <c r="Q137" i="25"/>
  <c r="R137" i="25"/>
  <c r="S137" i="25"/>
  <c r="U137" i="25"/>
  <c r="P138" i="25"/>
  <c r="Q138" i="25"/>
  <c r="R138" i="25"/>
  <c r="S138" i="25"/>
  <c r="U138" i="25"/>
  <c r="P139" i="25"/>
  <c r="Q139" i="25"/>
  <c r="R139" i="25"/>
  <c r="S139" i="25"/>
  <c r="U139" i="25"/>
  <c r="P140" i="25"/>
  <c r="Q140" i="25"/>
  <c r="R140" i="25"/>
  <c r="S140" i="25"/>
  <c r="U140" i="25"/>
  <c r="P141" i="25"/>
  <c r="Q141" i="25"/>
  <c r="R141" i="25"/>
  <c r="S141" i="25"/>
  <c r="U141" i="25"/>
  <c r="P142" i="25"/>
  <c r="Q142" i="25"/>
  <c r="R142" i="25"/>
  <c r="S142" i="25"/>
  <c r="U142" i="25"/>
  <c r="P143" i="25"/>
  <c r="Q143" i="25"/>
  <c r="R143" i="25"/>
  <c r="S143" i="25"/>
  <c r="U143" i="25"/>
  <c r="P144" i="25"/>
  <c r="Q144" i="25"/>
  <c r="R144" i="25"/>
  <c r="S144" i="25"/>
  <c r="U144" i="25"/>
  <c r="P145" i="25"/>
  <c r="Q145" i="25"/>
  <c r="R145" i="25"/>
  <c r="S145" i="25"/>
  <c r="U145" i="25"/>
  <c r="P146" i="25"/>
  <c r="Q146" i="25"/>
  <c r="R146" i="25"/>
  <c r="S146" i="25"/>
  <c r="U146" i="25"/>
  <c r="P147" i="25"/>
  <c r="Q147" i="25"/>
  <c r="R147" i="25"/>
  <c r="S147" i="25"/>
  <c r="U147" i="25"/>
  <c r="P148" i="25"/>
  <c r="Q148" i="25"/>
  <c r="R148" i="25"/>
  <c r="S148" i="25"/>
  <c r="U148" i="25"/>
  <c r="R149" i="25"/>
  <c r="S149" i="25" s="1"/>
  <c r="U149" i="25"/>
  <c r="R150" i="25"/>
  <c r="S150" i="25" s="1"/>
  <c r="U150" i="25"/>
  <c r="R151" i="25"/>
  <c r="S151" i="25" s="1"/>
  <c r="U151" i="25"/>
  <c r="R152" i="25"/>
  <c r="S152" i="25" s="1"/>
  <c r="U152" i="25"/>
  <c r="R153" i="25"/>
  <c r="S153" i="25" s="1"/>
  <c r="U153" i="25"/>
  <c r="R154" i="25"/>
  <c r="S154" i="25" s="1"/>
  <c r="U154" i="25"/>
  <c r="R155" i="25"/>
  <c r="S155" i="25" s="1"/>
  <c r="U155" i="25"/>
  <c r="R156" i="25"/>
  <c r="S156" i="25" s="1"/>
  <c r="U156" i="25"/>
  <c r="R157" i="25"/>
  <c r="S157" i="25" s="1"/>
  <c r="U157" i="25"/>
  <c r="R158" i="25"/>
  <c r="S158" i="25" s="1"/>
  <c r="U158" i="25"/>
  <c r="R159" i="25"/>
  <c r="S159" i="25" s="1"/>
  <c r="U159" i="25"/>
  <c r="R160" i="25"/>
  <c r="S160" i="25" s="1"/>
  <c r="U160" i="25"/>
  <c r="R161" i="25"/>
  <c r="S161" i="25" s="1"/>
  <c r="P163" i="25"/>
  <c r="Q163" i="25"/>
  <c r="R163" i="25" s="1"/>
  <c r="S163" i="25" s="1"/>
  <c r="U163" i="25"/>
  <c r="P164" i="25"/>
  <c r="Q164" i="25"/>
  <c r="R164" i="25" s="1"/>
  <c r="S164" i="25" s="1"/>
  <c r="U164" i="25"/>
  <c r="P165" i="25"/>
  <c r="Q165" i="25"/>
  <c r="R165" i="25" s="1"/>
  <c r="S165" i="25" s="1"/>
  <c r="U165" i="25"/>
  <c r="P166" i="25"/>
  <c r="Q166" i="25"/>
  <c r="R166" i="25" s="1"/>
  <c r="S166" i="25" s="1"/>
  <c r="U166" i="25"/>
  <c r="P167" i="25"/>
  <c r="Q167" i="25"/>
  <c r="R167" i="25" s="1"/>
  <c r="S167" i="25" s="1"/>
  <c r="U167" i="25"/>
  <c r="P168" i="25"/>
  <c r="Q168" i="25"/>
  <c r="R168" i="25" s="1"/>
  <c r="S168" i="25" s="1"/>
  <c r="U168" i="25"/>
  <c r="P169" i="25"/>
  <c r="Q169" i="25"/>
  <c r="R169" i="25" s="1"/>
  <c r="S169" i="25" s="1"/>
  <c r="U169" i="25"/>
  <c r="P170" i="25"/>
  <c r="Q170" i="25"/>
  <c r="R170" i="25" s="1"/>
  <c r="S170" i="25" s="1"/>
  <c r="U170" i="25"/>
  <c r="P171" i="25"/>
  <c r="Q171" i="25"/>
  <c r="R171" i="25" s="1"/>
  <c r="S171" i="25" s="1"/>
  <c r="U171" i="25"/>
  <c r="P172" i="25"/>
  <c r="Q172" i="25"/>
  <c r="R172" i="25" s="1"/>
  <c r="S172" i="25" s="1"/>
  <c r="U172" i="25"/>
  <c r="P173" i="25"/>
  <c r="Q173" i="25"/>
  <c r="R173" i="25" s="1"/>
  <c r="S173" i="25" s="1"/>
  <c r="U173" i="25"/>
  <c r="P174" i="25"/>
  <c r="Q174" i="25"/>
  <c r="R174" i="25" s="1"/>
  <c r="S174" i="25" s="1"/>
  <c r="U174" i="25"/>
  <c r="P175" i="25"/>
  <c r="Q175" i="25"/>
  <c r="R175" i="25" s="1"/>
  <c r="S175" i="25" s="1"/>
  <c r="U175" i="25"/>
  <c r="P176" i="25"/>
  <c r="Q176" i="25"/>
  <c r="R176" i="25" s="1"/>
  <c r="S176" i="25" s="1"/>
  <c r="U176" i="25"/>
  <c r="P177" i="25"/>
  <c r="Q177" i="25"/>
  <c r="R177" i="25" s="1"/>
  <c r="S177" i="25" s="1"/>
  <c r="U177" i="25"/>
  <c r="P178" i="25"/>
  <c r="Q178" i="25"/>
  <c r="R178" i="25" s="1"/>
  <c r="S178" i="25" s="1"/>
  <c r="U178" i="25"/>
  <c r="P179" i="25"/>
  <c r="Q179" i="25"/>
  <c r="R179" i="25" s="1"/>
  <c r="S179" i="25" s="1"/>
  <c r="U179" i="25"/>
  <c r="P180" i="25"/>
  <c r="Q180" i="25"/>
  <c r="R180" i="25" s="1"/>
  <c r="S180" i="25" s="1"/>
  <c r="U180" i="25"/>
  <c r="P181" i="25"/>
  <c r="Q181" i="25"/>
  <c r="R181" i="25" s="1"/>
  <c r="S181" i="25" s="1"/>
  <c r="U181" i="25"/>
  <c r="P182" i="25"/>
  <c r="Q182" i="25"/>
  <c r="R182" i="25" s="1"/>
  <c r="S182" i="25" s="1"/>
  <c r="U182" i="25"/>
  <c r="P183" i="25"/>
  <c r="Q183" i="25"/>
  <c r="R183" i="25" s="1"/>
  <c r="S183" i="25" s="1"/>
  <c r="U183" i="25"/>
  <c r="P184" i="25"/>
  <c r="Q184" i="25"/>
  <c r="R184" i="25" s="1"/>
  <c r="S184" i="25" s="1"/>
  <c r="U184" i="25"/>
  <c r="P185" i="25"/>
  <c r="Q185" i="25"/>
  <c r="R185" i="25" s="1"/>
  <c r="S185" i="25" s="1"/>
  <c r="U185" i="25"/>
  <c r="P186" i="25"/>
  <c r="Q186" i="25"/>
  <c r="R186" i="25" s="1"/>
  <c r="S186" i="25" s="1"/>
  <c r="U186" i="25"/>
  <c r="P187" i="25"/>
  <c r="Q187" i="25"/>
  <c r="R187" i="25" s="1"/>
  <c r="S187" i="25" s="1"/>
  <c r="U187" i="25"/>
  <c r="P188" i="25"/>
  <c r="Q188" i="25"/>
  <c r="R188" i="25" s="1"/>
  <c r="S188" i="25" s="1"/>
  <c r="U188" i="25"/>
  <c r="P189" i="25"/>
  <c r="Q189" i="25"/>
  <c r="R189" i="25" s="1"/>
  <c r="S189" i="25" s="1"/>
  <c r="U189" i="25"/>
  <c r="P190" i="25"/>
  <c r="Q190" i="25"/>
  <c r="R190" i="25" s="1"/>
  <c r="S190" i="25" s="1"/>
  <c r="U190" i="25"/>
  <c r="P191" i="25"/>
  <c r="Q191" i="25"/>
  <c r="R191" i="25" s="1"/>
  <c r="S191" i="25" s="1"/>
  <c r="U191" i="25"/>
  <c r="P192" i="25"/>
  <c r="Q192" i="25"/>
  <c r="R192" i="25" s="1"/>
  <c r="S192" i="25" s="1"/>
  <c r="U192" i="25"/>
  <c r="P193" i="25"/>
  <c r="Q193" i="25"/>
  <c r="R193" i="25" s="1"/>
  <c r="S193" i="25" s="1"/>
  <c r="U193" i="25"/>
  <c r="P194" i="25"/>
  <c r="Q194" i="25"/>
  <c r="R194" i="25" s="1"/>
  <c r="S194" i="25" s="1"/>
  <c r="U194" i="25"/>
  <c r="P195" i="25"/>
  <c r="Q195" i="25"/>
  <c r="R195" i="25" s="1"/>
  <c r="S195" i="25" s="1"/>
  <c r="U195" i="25"/>
  <c r="P196" i="25"/>
  <c r="Q196" i="25"/>
  <c r="R196" i="25" s="1"/>
  <c r="S196" i="25" s="1"/>
  <c r="U196" i="25"/>
  <c r="P199" i="25"/>
  <c r="Q199" i="25"/>
  <c r="R199" i="25" s="1"/>
  <c r="S199" i="25" s="1"/>
  <c r="U199" i="25"/>
  <c r="P200" i="25"/>
  <c r="Q200" i="25"/>
  <c r="R200" i="25" s="1"/>
  <c r="S200" i="25" s="1"/>
  <c r="U200" i="25"/>
  <c r="P201" i="25"/>
  <c r="Q201" i="25"/>
  <c r="R201" i="25" s="1"/>
  <c r="S201" i="25" s="1"/>
  <c r="U201" i="25"/>
  <c r="P202" i="25"/>
  <c r="Q202" i="25"/>
  <c r="R202" i="25" s="1"/>
  <c r="S202" i="25" s="1"/>
  <c r="U202" i="25"/>
  <c r="P203" i="25"/>
  <c r="Q203" i="25"/>
  <c r="R203" i="25" s="1"/>
  <c r="S203" i="25" s="1"/>
  <c r="U203" i="25"/>
  <c r="P204" i="25"/>
  <c r="Q204" i="25"/>
  <c r="R204" i="25" s="1"/>
  <c r="S204" i="25" s="1"/>
  <c r="U204" i="25"/>
  <c r="P205" i="25"/>
  <c r="Q205" i="25"/>
  <c r="R205" i="25" s="1"/>
  <c r="S205" i="25" s="1"/>
  <c r="U205" i="25"/>
  <c r="P206" i="25"/>
  <c r="Q206" i="25"/>
  <c r="R206" i="25" s="1"/>
  <c r="S206" i="25" s="1"/>
  <c r="U206" i="25"/>
  <c r="P207" i="25"/>
  <c r="Q207" i="25"/>
  <c r="R207" i="25" s="1"/>
  <c r="S207" i="25" s="1"/>
  <c r="U207" i="25"/>
  <c r="P208" i="25"/>
  <c r="Q208" i="25"/>
  <c r="R208" i="25" s="1"/>
  <c r="S208" i="25" s="1"/>
  <c r="U208" i="25"/>
  <c r="P209" i="25"/>
  <c r="Q209" i="25"/>
  <c r="R209" i="25" s="1"/>
  <c r="S209" i="25" s="1"/>
  <c r="U209" i="25"/>
  <c r="P210" i="25"/>
  <c r="Q210" i="25"/>
  <c r="R210" i="25" s="1"/>
  <c r="S210" i="25" s="1"/>
  <c r="U210" i="25"/>
  <c r="P211" i="25"/>
  <c r="Q211" i="25"/>
  <c r="R211" i="25" s="1"/>
  <c r="S211" i="25" s="1"/>
  <c r="U211" i="25"/>
  <c r="P212" i="25"/>
  <c r="Q212" i="25"/>
  <c r="R212" i="25" s="1"/>
  <c r="S212" i="25" s="1"/>
  <c r="U212" i="25"/>
  <c r="P213" i="25"/>
  <c r="Q213" i="25"/>
  <c r="R213" i="25" s="1"/>
  <c r="S213" i="25" s="1"/>
  <c r="U213" i="25"/>
  <c r="P214" i="25"/>
  <c r="Q214" i="25"/>
  <c r="R214" i="25" s="1"/>
  <c r="S214" i="25" s="1"/>
  <c r="U214" i="25"/>
  <c r="P215" i="25"/>
  <c r="Q215" i="25"/>
  <c r="R215" i="25" s="1"/>
  <c r="S215" i="25" s="1"/>
  <c r="U215" i="25"/>
  <c r="P216" i="25"/>
  <c r="Q216" i="25"/>
  <c r="R216" i="25" s="1"/>
  <c r="S216" i="25" s="1"/>
  <c r="U216" i="25"/>
  <c r="P217" i="25"/>
  <c r="Q217" i="25"/>
  <c r="R217" i="25" s="1"/>
  <c r="S217" i="25" s="1"/>
  <c r="U217" i="25"/>
  <c r="P218" i="25"/>
  <c r="Q218" i="25"/>
  <c r="R218" i="25" s="1"/>
  <c r="S218" i="25" s="1"/>
  <c r="U218" i="25"/>
  <c r="P219" i="25"/>
  <c r="Q219" i="25"/>
  <c r="R219" i="25" s="1"/>
  <c r="S219" i="25" s="1"/>
  <c r="U219" i="25"/>
  <c r="P220" i="25"/>
  <c r="Q220" i="25"/>
  <c r="R220" i="25" s="1"/>
  <c r="S220" i="25" s="1"/>
  <c r="U220" i="25"/>
  <c r="P221" i="25"/>
  <c r="Q221" i="25" s="1"/>
  <c r="R221" i="25" s="1"/>
  <c r="S221" i="25" s="1"/>
  <c r="U221" i="25"/>
  <c r="P222" i="25"/>
  <c r="Q222" i="25" s="1"/>
  <c r="R222" i="25" s="1"/>
  <c r="S222" i="25" s="1"/>
  <c r="U222" i="25"/>
  <c r="P223" i="25"/>
  <c r="Q223" i="25" s="1"/>
  <c r="R223" i="25" s="1"/>
  <c r="S223" i="25" s="1"/>
  <c r="U223" i="25"/>
  <c r="P224" i="25"/>
  <c r="Q224" i="25" s="1"/>
  <c r="R224" i="25" s="1"/>
  <c r="S224" i="25" s="1"/>
  <c r="U224" i="25"/>
  <c r="P225" i="25"/>
  <c r="Q225" i="25" s="1"/>
  <c r="R225" i="25" s="1"/>
  <c r="S225" i="25" s="1"/>
  <c r="U225" i="25"/>
  <c r="P226" i="25"/>
  <c r="Q226" i="25" s="1"/>
  <c r="R226" i="25" s="1"/>
  <c r="S226" i="25" s="1"/>
  <c r="U226" i="25"/>
  <c r="P227" i="25"/>
  <c r="Q227" i="25" s="1"/>
  <c r="R227" i="25" s="1"/>
  <c r="S227" i="25" s="1"/>
  <c r="U227" i="25"/>
  <c r="P228" i="25"/>
  <c r="Q228" i="25" s="1"/>
  <c r="R228" i="25" s="1"/>
  <c r="S228" i="25" s="1"/>
  <c r="U228" i="25"/>
  <c r="P229" i="25"/>
  <c r="Q229" i="25" s="1"/>
  <c r="R229" i="25" s="1"/>
  <c r="S229" i="25" s="1"/>
  <c r="U229" i="25"/>
  <c r="P230" i="25"/>
  <c r="Q230" i="25" s="1"/>
  <c r="R230" i="25" s="1"/>
  <c r="S230" i="25" s="1"/>
  <c r="U230" i="25"/>
  <c r="P231" i="25"/>
  <c r="Q231" i="25" s="1"/>
  <c r="R231" i="25" s="1"/>
  <c r="S231" i="25" s="1"/>
  <c r="U231" i="25"/>
  <c r="P232" i="25"/>
  <c r="Q232" i="25" s="1"/>
  <c r="R232" i="25" s="1"/>
  <c r="S232" i="25" s="1"/>
  <c r="U232" i="25"/>
  <c r="P233" i="25"/>
  <c r="Q233" i="25" s="1"/>
  <c r="R233" i="25" s="1"/>
  <c r="S233" i="25" s="1"/>
  <c r="P235" i="25"/>
  <c r="Q235" i="25" s="1"/>
  <c r="R235" i="25" s="1"/>
  <c r="S235" i="25" s="1"/>
  <c r="U235" i="25"/>
  <c r="P236" i="25"/>
  <c r="Q236" i="25" s="1"/>
  <c r="R236" i="25" s="1"/>
  <c r="S236" i="25" s="1"/>
  <c r="U236" i="25"/>
  <c r="P237" i="25"/>
  <c r="Q237" i="25" s="1"/>
  <c r="R237" i="25" s="1"/>
  <c r="S237" i="25" s="1"/>
  <c r="U237" i="25"/>
  <c r="P238" i="25"/>
  <c r="Q238" i="25" s="1"/>
  <c r="R238" i="25" s="1"/>
  <c r="S238" i="25" s="1"/>
  <c r="U238" i="25"/>
  <c r="P239" i="25"/>
  <c r="Q239" i="25" s="1"/>
  <c r="R239" i="25" s="1"/>
  <c r="S239" i="25" s="1"/>
  <c r="U239" i="25"/>
  <c r="P240" i="25"/>
  <c r="Q240" i="25" s="1"/>
  <c r="R240" i="25" s="1"/>
  <c r="S240" i="25" s="1"/>
  <c r="U240" i="25"/>
  <c r="P241" i="25"/>
  <c r="Q241" i="25" s="1"/>
  <c r="R241" i="25" s="1"/>
  <c r="S241" i="25" s="1"/>
  <c r="U241" i="25"/>
  <c r="P242" i="25"/>
  <c r="Q242" i="25" s="1"/>
  <c r="R242" i="25" s="1"/>
  <c r="S242" i="25" s="1"/>
  <c r="U242" i="25"/>
  <c r="P243" i="25"/>
  <c r="Q243" i="25" s="1"/>
  <c r="R243" i="25" s="1"/>
  <c r="S243" i="25" s="1"/>
  <c r="U243" i="25"/>
  <c r="P244" i="25"/>
  <c r="Q244" i="25" s="1"/>
  <c r="R244" i="25" s="1"/>
  <c r="S244" i="25" s="1"/>
  <c r="U244" i="25"/>
  <c r="P245" i="25"/>
  <c r="Q245" i="25" s="1"/>
  <c r="R245" i="25" s="1"/>
  <c r="S245" i="25" s="1"/>
  <c r="U245" i="25"/>
  <c r="P246" i="25"/>
  <c r="Q246" i="25" s="1"/>
  <c r="R246" i="25" s="1"/>
  <c r="S246" i="25" s="1"/>
  <c r="U246" i="25"/>
  <c r="P247" i="25"/>
  <c r="Q247" i="25" s="1"/>
  <c r="R247" i="25" s="1"/>
  <c r="S247" i="25" s="1"/>
  <c r="U247" i="25"/>
  <c r="P248" i="25"/>
  <c r="Q248" i="25" s="1"/>
  <c r="R248" i="25" s="1"/>
  <c r="S248" i="25" s="1"/>
  <c r="U248" i="25"/>
  <c r="P249" i="25"/>
  <c r="Q249" i="25" s="1"/>
  <c r="R249" i="25" s="1"/>
  <c r="S249" i="25" s="1"/>
  <c r="U249" i="25"/>
  <c r="P250" i="25"/>
  <c r="Q250" i="25" s="1"/>
  <c r="R250" i="25" s="1"/>
  <c r="S250" i="25" s="1"/>
  <c r="U250" i="25"/>
  <c r="P251" i="25"/>
  <c r="Q251" i="25" s="1"/>
  <c r="R251" i="25" s="1"/>
  <c r="S251" i="25" s="1"/>
  <c r="U251" i="25"/>
  <c r="P252" i="25"/>
  <c r="Q252" i="25" s="1"/>
  <c r="R252" i="25" s="1"/>
  <c r="S252" i="25" s="1"/>
  <c r="U252" i="25"/>
  <c r="P253" i="25"/>
  <c r="Q253" i="25" s="1"/>
  <c r="R253" i="25" s="1"/>
  <c r="S253" i="25" s="1"/>
  <c r="U253" i="25"/>
  <c r="P254" i="25"/>
  <c r="Q254" i="25" s="1"/>
  <c r="R254" i="25" s="1"/>
  <c r="S254" i="25" s="1"/>
  <c r="U254" i="25"/>
  <c r="P255" i="25"/>
  <c r="Q255" i="25" s="1"/>
  <c r="R255" i="25" s="1"/>
  <c r="S255" i="25" s="1"/>
  <c r="U255" i="25"/>
  <c r="P256" i="25"/>
  <c r="Q256" i="25" s="1"/>
  <c r="R256" i="25" s="1"/>
  <c r="S256" i="25" s="1"/>
  <c r="U256" i="25"/>
  <c r="P257" i="25"/>
  <c r="Q257" i="25" s="1"/>
  <c r="R257" i="25" s="1"/>
  <c r="S257" i="25" s="1"/>
  <c r="U257" i="25"/>
  <c r="P258" i="25"/>
  <c r="Q258" i="25" s="1"/>
  <c r="R258" i="25" s="1"/>
  <c r="S258" i="25" s="1"/>
  <c r="U258" i="25"/>
  <c r="P259" i="25"/>
  <c r="Q259" i="25" s="1"/>
  <c r="R259" i="25" s="1"/>
  <c r="S259" i="25" s="1"/>
  <c r="U259" i="25"/>
  <c r="P260" i="25"/>
  <c r="Q260" i="25" s="1"/>
  <c r="R260" i="25" s="1"/>
  <c r="S260" i="25" s="1"/>
  <c r="U260" i="25"/>
  <c r="P261" i="25"/>
  <c r="Q261" i="25" s="1"/>
  <c r="R261" i="25" s="1"/>
  <c r="S261" i="25" s="1"/>
  <c r="U261" i="25"/>
  <c r="P262" i="25"/>
  <c r="Q262" i="25" s="1"/>
  <c r="R262" i="25" s="1"/>
  <c r="S262" i="25" s="1"/>
  <c r="U262" i="25"/>
  <c r="P263" i="25"/>
  <c r="Q263" i="25" s="1"/>
  <c r="R263" i="25" s="1"/>
  <c r="S263" i="25" s="1"/>
  <c r="U263" i="25"/>
  <c r="P264" i="25"/>
  <c r="Q264" i="25" s="1"/>
  <c r="R264" i="25" s="1"/>
  <c r="S264" i="25" s="1"/>
  <c r="U264" i="25"/>
  <c r="P265" i="25"/>
  <c r="Q265" i="25" s="1"/>
  <c r="R265" i="25" s="1"/>
  <c r="S265" i="25" s="1"/>
  <c r="U265" i="25"/>
  <c r="P266" i="25"/>
  <c r="Q266" i="25" s="1"/>
  <c r="R266" i="25" s="1"/>
  <c r="S266" i="25" s="1"/>
  <c r="U266" i="25"/>
  <c r="P267" i="25"/>
  <c r="Q267" i="25" s="1"/>
  <c r="R267" i="25" s="1"/>
  <c r="S267" i="25" s="1"/>
  <c r="U267" i="25"/>
  <c r="P268" i="25"/>
  <c r="Q268" i="25" s="1"/>
  <c r="R268" i="25" s="1"/>
  <c r="S268" i="25" s="1"/>
  <c r="U268" i="25"/>
  <c r="P269" i="25"/>
  <c r="Q269" i="25" s="1"/>
  <c r="R269" i="25" s="1"/>
  <c r="S269" i="25" s="1"/>
  <c r="P271" i="25"/>
  <c r="Q271" i="25" s="1"/>
  <c r="R271" i="25" s="1"/>
  <c r="S271" i="25" s="1"/>
  <c r="U271" i="25"/>
  <c r="P272" i="25"/>
  <c r="Q272" i="25" s="1"/>
  <c r="R272" i="25" s="1"/>
  <c r="S272" i="25" s="1"/>
  <c r="U272" i="25"/>
  <c r="P273" i="25"/>
  <c r="Q273" i="25" s="1"/>
  <c r="R273" i="25" s="1"/>
  <c r="S273" i="25" s="1"/>
  <c r="U273" i="25"/>
  <c r="P274" i="25"/>
  <c r="Q274" i="25" s="1"/>
  <c r="R274" i="25" s="1"/>
  <c r="S274" i="25" s="1"/>
  <c r="U274" i="25"/>
  <c r="P275" i="25"/>
  <c r="Q275" i="25" s="1"/>
  <c r="R275" i="25" s="1"/>
  <c r="S275" i="25" s="1"/>
  <c r="U275" i="25"/>
  <c r="P276" i="25"/>
  <c r="Q276" i="25" s="1"/>
  <c r="R276" i="25" s="1"/>
  <c r="S276" i="25" s="1"/>
  <c r="U276" i="25"/>
  <c r="P277" i="25"/>
  <c r="Q277" i="25" s="1"/>
  <c r="R277" i="25" s="1"/>
  <c r="S277" i="25" s="1"/>
  <c r="U277" i="25"/>
  <c r="P278" i="25"/>
  <c r="Q278" i="25" s="1"/>
  <c r="R278" i="25" s="1"/>
  <c r="S278" i="25" s="1"/>
  <c r="U278" i="25"/>
  <c r="P279" i="25"/>
  <c r="Q279" i="25" s="1"/>
  <c r="R279" i="25" s="1"/>
  <c r="S279" i="25" s="1"/>
  <c r="U279" i="25"/>
  <c r="P280" i="25"/>
  <c r="Q280" i="25" s="1"/>
  <c r="R280" i="25" s="1"/>
  <c r="S280" i="25" s="1"/>
  <c r="U280" i="25"/>
  <c r="P281" i="25"/>
  <c r="Q281" i="25" s="1"/>
  <c r="R281" i="25" s="1"/>
  <c r="S281" i="25" s="1"/>
  <c r="U281" i="25"/>
  <c r="P282" i="25"/>
  <c r="Q282" i="25" s="1"/>
  <c r="R282" i="25" s="1"/>
  <c r="S282" i="25" s="1"/>
  <c r="U282" i="25"/>
  <c r="P283" i="25"/>
  <c r="Q283" i="25" s="1"/>
  <c r="R283" i="25" s="1"/>
  <c r="S283" i="25" s="1"/>
  <c r="U283" i="25"/>
  <c r="P284" i="25"/>
  <c r="Q284" i="25" s="1"/>
  <c r="R284" i="25" s="1"/>
  <c r="S284" i="25" s="1"/>
  <c r="U284" i="25"/>
  <c r="P285" i="25"/>
  <c r="Q285" i="25" s="1"/>
  <c r="R285" i="25" s="1"/>
  <c r="S285" i="25" s="1"/>
  <c r="U285" i="25"/>
  <c r="P286" i="25"/>
  <c r="Q286" i="25" s="1"/>
  <c r="R286" i="25" s="1"/>
  <c r="S286" i="25" s="1"/>
  <c r="U286" i="25"/>
  <c r="P287" i="25"/>
  <c r="Q287" i="25" s="1"/>
  <c r="R287" i="25" s="1"/>
  <c r="S287" i="25" s="1"/>
  <c r="U287" i="25"/>
  <c r="P288" i="25"/>
  <c r="Q288" i="25" s="1"/>
  <c r="R288" i="25" s="1"/>
  <c r="S288" i="25" s="1"/>
  <c r="U288" i="25"/>
  <c r="P289" i="25"/>
  <c r="Q289" i="25" s="1"/>
  <c r="R289" i="25" s="1"/>
  <c r="S289" i="25" s="1"/>
  <c r="U289" i="25"/>
  <c r="P290" i="25"/>
  <c r="Q290" i="25" s="1"/>
  <c r="R290" i="25" s="1"/>
  <c r="S290" i="25" s="1"/>
  <c r="U290" i="25"/>
  <c r="P291" i="25"/>
  <c r="Q291" i="25" s="1"/>
  <c r="R291" i="25" s="1"/>
  <c r="S291" i="25" s="1"/>
  <c r="U291" i="25"/>
  <c r="P292" i="25"/>
  <c r="Q292" i="25" s="1"/>
  <c r="R292" i="25" s="1"/>
  <c r="S292" i="25" s="1"/>
  <c r="U292" i="25"/>
  <c r="P293" i="25"/>
  <c r="Q293" i="25" s="1"/>
  <c r="R293" i="25" s="1"/>
  <c r="S293" i="25" s="1"/>
  <c r="U293" i="25"/>
  <c r="P294" i="25"/>
  <c r="Q294" i="25" s="1"/>
  <c r="R294" i="25" s="1"/>
  <c r="S294" i="25" s="1"/>
  <c r="U294" i="25"/>
  <c r="P295" i="25"/>
  <c r="Q295" i="25" s="1"/>
  <c r="R295" i="25" s="1"/>
  <c r="S295" i="25" s="1"/>
  <c r="U295" i="25"/>
  <c r="P296" i="25"/>
  <c r="Q296" i="25" s="1"/>
  <c r="R296" i="25" s="1"/>
  <c r="S296" i="25" s="1"/>
  <c r="U296" i="25"/>
  <c r="P297" i="25"/>
  <c r="Q297" i="25" s="1"/>
  <c r="R297" i="25" s="1"/>
  <c r="S297" i="25" s="1"/>
  <c r="U297" i="25"/>
  <c r="P298" i="25"/>
  <c r="Q298" i="25" s="1"/>
  <c r="R298" i="25" s="1"/>
  <c r="S298" i="25" s="1"/>
  <c r="U298" i="25"/>
  <c r="P299" i="25"/>
  <c r="Q299" i="25" s="1"/>
  <c r="R299" i="25" s="1"/>
  <c r="S299" i="25" s="1"/>
  <c r="U299" i="25"/>
  <c r="P300" i="25"/>
  <c r="Q300" i="25" s="1"/>
  <c r="R300" i="25" s="1"/>
  <c r="S300" i="25" s="1"/>
  <c r="U300" i="25"/>
  <c r="P301" i="25"/>
  <c r="Q301" i="25" s="1"/>
  <c r="R301" i="25" s="1"/>
  <c r="S301" i="25" s="1"/>
  <c r="U301" i="25"/>
  <c r="P302" i="25"/>
  <c r="Q302" i="25" s="1"/>
  <c r="R302" i="25" s="1"/>
  <c r="S302" i="25" s="1"/>
  <c r="U302" i="25"/>
  <c r="P303" i="25"/>
  <c r="Q303" i="25" s="1"/>
  <c r="R303" i="25" s="1"/>
  <c r="S303" i="25" s="1"/>
  <c r="U303" i="25"/>
  <c r="P304" i="25"/>
  <c r="Q304" i="25" s="1"/>
  <c r="R304" i="25" s="1"/>
  <c r="S304" i="25" s="1"/>
  <c r="U304" i="25"/>
  <c r="P305" i="25"/>
  <c r="Q305" i="25" s="1"/>
  <c r="R305" i="25" s="1"/>
  <c r="S305" i="25" s="1"/>
  <c r="P307" i="25"/>
  <c r="Q307" i="25" s="1"/>
  <c r="R307" i="25" s="1"/>
  <c r="S307" i="25" s="1"/>
  <c r="U307" i="25"/>
  <c r="P308" i="25"/>
  <c r="Q308" i="25" s="1"/>
  <c r="R308" i="25" s="1"/>
  <c r="S308" i="25" s="1"/>
  <c r="U308" i="25"/>
  <c r="P309" i="25"/>
  <c r="Q309" i="25" s="1"/>
  <c r="R309" i="25" s="1"/>
  <c r="S309" i="25" s="1"/>
  <c r="U309" i="25"/>
  <c r="P310" i="25"/>
  <c r="Q310" i="25" s="1"/>
  <c r="R310" i="25" s="1"/>
  <c r="S310" i="25" s="1"/>
  <c r="U310" i="25"/>
  <c r="P311" i="25"/>
  <c r="Q311" i="25" s="1"/>
  <c r="R311" i="25" s="1"/>
  <c r="S311" i="25" s="1"/>
  <c r="U311" i="25"/>
  <c r="P312" i="25"/>
  <c r="Q312" i="25" s="1"/>
  <c r="R312" i="25" s="1"/>
  <c r="S312" i="25" s="1"/>
  <c r="U312" i="25"/>
  <c r="P313" i="25"/>
  <c r="Q313" i="25" s="1"/>
  <c r="R313" i="25" s="1"/>
  <c r="S313" i="25" s="1"/>
  <c r="U313" i="25"/>
  <c r="P314" i="25"/>
  <c r="Q314" i="25" s="1"/>
  <c r="R314" i="25" s="1"/>
  <c r="S314" i="25" s="1"/>
  <c r="U314" i="25"/>
  <c r="P315" i="25"/>
  <c r="Q315" i="25" s="1"/>
  <c r="R315" i="25" s="1"/>
  <c r="S315" i="25" s="1"/>
  <c r="U315" i="25"/>
  <c r="P316" i="25"/>
  <c r="Q316" i="25" s="1"/>
  <c r="R316" i="25" s="1"/>
  <c r="S316" i="25" s="1"/>
  <c r="U316" i="25"/>
  <c r="P317" i="25"/>
  <c r="Q317" i="25" s="1"/>
  <c r="R317" i="25" s="1"/>
  <c r="S317" i="25" s="1"/>
  <c r="U317" i="25"/>
  <c r="P318" i="25"/>
  <c r="Q318" i="25" s="1"/>
  <c r="R318" i="25" s="1"/>
  <c r="S318" i="25" s="1"/>
  <c r="U318" i="25"/>
  <c r="P319" i="25"/>
  <c r="Q319" i="25" s="1"/>
  <c r="R319" i="25" s="1"/>
  <c r="S319" i="25" s="1"/>
  <c r="U319" i="25"/>
  <c r="P320" i="25"/>
  <c r="Q320" i="25" s="1"/>
  <c r="R320" i="25" s="1"/>
  <c r="S320" i="25" s="1"/>
  <c r="U320" i="25"/>
  <c r="P321" i="25"/>
  <c r="Q321" i="25" s="1"/>
  <c r="R321" i="25" s="1"/>
  <c r="S321" i="25" s="1"/>
  <c r="U321" i="25"/>
  <c r="P322" i="25"/>
  <c r="Q322" i="25" s="1"/>
  <c r="R322" i="25" s="1"/>
  <c r="S322" i="25" s="1"/>
  <c r="U322" i="25"/>
  <c r="P323" i="25"/>
  <c r="Q323" i="25" s="1"/>
  <c r="R323" i="25" s="1"/>
  <c r="S323" i="25" s="1"/>
  <c r="U323" i="25"/>
  <c r="P324" i="25"/>
  <c r="Q324" i="25" s="1"/>
  <c r="R324" i="25" s="1"/>
  <c r="S324" i="25" s="1"/>
  <c r="U324" i="25"/>
  <c r="P325" i="25"/>
  <c r="Q325" i="25" s="1"/>
  <c r="R325" i="25" s="1"/>
  <c r="S325" i="25" s="1"/>
  <c r="U325" i="25"/>
  <c r="P326" i="25"/>
  <c r="Q326" i="25" s="1"/>
  <c r="R326" i="25" s="1"/>
  <c r="S326" i="25" s="1"/>
  <c r="U326" i="25"/>
  <c r="P327" i="25"/>
  <c r="Q327" i="25" s="1"/>
  <c r="R327" i="25" s="1"/>
  <c r="S327" i="25" s="1"/>
  <c r="U327" i="25"/>
  <c r="P328" i="25"/>
  <c r="Q328" i="25" s="1"/>
  <c r="R328" i="25" s="1"/>
  <c r="S328" i="25" s="1"/>
  <c r="U328" i="25"/>
  <c r="P329" i="25"/>
  <c r="Q329" i="25" s="1"/>
  <c r="R329" i="25" s="1"/>
  <c r="S329" i="25" s="1"/>
  <c r="U329" i="25"/>
  <c r="P330" i="25"/>
  <c r="Q330" i="25" s="1"/>
  <c r="R330" i="25" s="1"/>
  <c r="S330" i="25" s="1"/>
  <c r="U330" i="25"/>
  <c r="P331" i="25"/>
  <c r="Q331" i="25" s="1"/>
  <c r="R331" i="25" s="1"/>
  <c r="S331" i="25" s="1"/>
  <c r="U331" i="25"/>
  <c r="P332" i="25"/>
  <c r="Q332" i="25" s="1"/>
  <c r="R332" i="25" s="1"/>
  <c r="S332" i="25" s="1"/>
  <c r="U332" i="25"/>
  <c r="P333" i="25"/>
  <c r="Q333" i="25" s="1"/>
  <c r="R333" i="25" s="1"/>
  <c r="S333" i="25" s="1"/>
  <c r="U333" i="25"/>
  <c r="P334" i="25"/>
  <c r="Q334" i="25" s="1"/>
  <c r="R334" i="25" s="1"/>
  <c r="S334" i="25" s="1"/>
  <c r="U334" i="25"/>
  <c r="P335" i="25"/>
  <c r="Q335" i="25" s="1"/>
  <c r="R335" i="25" s="1"/>
  <c r="S335" i="25" s="1"/>
  <c r="U335" i="25"/>
  <c r="P336" i="25"/>
  <c r="Q336" i="25" s="1"/>
  <c r="R336" i="25" s="1"/>
  <c r="S336" i="25" s="1"/>
  <c r="U336" i="25"/>
  <c r="P337" i="25"/>
  <c r="Q337" i="25" s="1"/>
  <c r="R337" i="25" s="1"/>
  <c r="S337" i="25" s="1"/>
  <c r="U337" i="25"/>
  <c r="P338" i="25"/>
  <c r="Q338" i="25" s="1"/>
  <c r="R338" i="25" s="1"/>
  <c r="S338" i="25" s="1"/>
  <c r="U338" i="25"/>
  <c r="P339" i="25"/>
  <c r="Q339" i="25" s="1"/>
  <c r="R339" i="25" s="1"/>
  <c r="S339" i="25" s="1"/>
  <c r="U339" i="25"/>
  <c r="P340" i="25"/>
  <c r="Q340" i="25" s="1"/>
  <c r="R340" i="25" s="1"/>
  <c r="S340" i="25" s="1"/>
  <c r="U340" i="25"/>
  <c r="P342" i="25"/>
  <c r="Q342" i="25" s="1"/>
  <c r="R342" i="25" s="1"/>
  <c r="S342" i="25" s="1"/>
  <c r="P343" i="25"/>
  <c r="Q343" i="25" s="1"/>
  <c r="R343" i="25" s="1"/>
  <c r="S343" i="25" s="1"/>
  <c r="U343" i="25"/>
  <c r="P344" i="25"/>
  <c r="Q344" i="25" s="1"/>
  <c r="R344" i="25" s="1"/>
  <c r="S344" i="25" s="1"/>
  <c r="U344" i="25"/>
  <c r="P345" i="25"/>
  <c r="Q345" i="25" s="1"/>
  <c r="R345" i="25" s="1"/>
  <c r="S345" i="25" s="1"/>
  <c r="U345" i="25"/>
  <c r="P346" i="25"/>
  <c r="Q346" i="25" s="1"/>
  <c r="R346" i="25" s="1"/>
  <c r="S346" i="25" s="1"/>
  <c r="U346" i="25"/>
  <c r="P347" i="25"/>
  <c r="Q347" i="25" s="1"/>
  <c r="R347" i="25" s="1"/>
  <c r="S347" i="25" s="1"/>
  <c r="U347" i="25"/>
  <c r="P348" i="25"/>
  <c r="Q348" i="25" s="1"/>
  <c r="R348" i="25" s="1"/>
  <c r="S348" i="25" s="1"/>
  <c r="U348" i="25"/>
  <c r="P349" i="25"/>
  <c r="Q349" i="25" s="1"/>
  <c r="R349" i="25" s="1"/>
  <c r="S349" i="25" s="1"/>
  <c r="U349" i="25"/>
  <c r="P350" i="25"/>
  <c r="Q350" i="25" s="1"/>
  <c r="R350" i="25" s="1"/>
  <c r="S350" i="25" s="1"/>
  <c r="U350" i="25"/>
  <c r="P351" i="25"/>
  <c r="Q351" i="25" s="1"/>
  <c r="R351" i="25" s="1"/>
  <c r="S351" i="25" s="1"/>
  <c r="U351" i="25"/>
  <c r="P352" i="25"/>
  <c r="Q352" i="25" s="1"/>
  <c r="R352" i="25" s="1"/>
  <c r="S352" i="25" s="1"/>
  <c r="U352" i="25"/>
  <c r="P353" i="25"/>
  <c r="Q353" i="25" s="1"/>
  <c r="R353" i="25" s="1"/>
  <c r="S353" i="25" s="1"/>
  <c r="U353" i="25"/>
  <c r="P354" i="25"/>
  <c r="Q354" i="25" s="1"/>
  <c r="R354" i="25" s="1"/>
  <c r="S354" i="25" s="1"/>
  <c r="U354" i="25"/>
  <c r="P355" i="25"/>
  <c r="Q355" i="25" s="1"/>
  <c r="R355" i="25" s="1"/>
  <c r="S355" i="25" s="1"/>
  <c r="U355" i="25"/>
  <c r="P356" i="25"/>
  <c r="Q356" i="25" s="1"/>
  <c r="R356" i="25" s="1"/>
  <c r="S356" i="25" s="1"/>
  <c r="U356" i="25"/>
  <c r="P357" i="25"/>
  <c r="Q357" i="25" s="1"/>
  <c r="R357" i="25" s="1"/>
  <c r="S357" i="25" s="1"/>
  <c r="U357" i="25"/>
  <c r="P358" i="25"/>
  <c r="Q358" i="25" s="1"/>
  <c r="R358" i="25" s="1"/>
  <c r="S358" i="25" s="1"/>
  <c r="U358" i="25"/>
  <c r="P359" i="25"/>
  <c r="Q359" i="25" s="1"/>
  <c r="R359" i="25" s="1"/>
  <c r="S359" i="25" s="1"/>
  <c r="U359" i="25"/>
  <c r="P360" i="25"/>
  <c r="Q360" i="25" s="1"/>
  <c r="R360" i="25" s="1"/>
  <c r="S360" i="25" s="1"/>
  <c r="U360" i="25"/>
  <c r="P361" i="25"/>
  <c r="Q361" i="25" s="1"/>
  <c r="R361" i="25" s="1"/>
  <c r="S361" i="25" s="1"/>
  <c r="U361" i="25"/>
  <c r="P362" i="25"/>
  <c r="Q362" i="25" s="1"/>
  <c r="R362" i="25" s="1"/>
  <c r="S362" i="25" s="1"/>
  <c r="U362" i="25"/>
  <c r="P363" i="25"/>
  <c r="Q363" i="25" s="1"/>
  <c r="R363" i="25" s="1"/>
  <c r="S363" i="25" s="1"/>
  <c r="U363" i="25"/>
  <c r="P364" i="25"/>
  <c r="Q364" i="25" s="1"/>
  <c r="R364" i="25" s="1"/>
  <c r="S364" i="25" s="1"/>
  <c r="U364" i="25"/>
  <c r="P365" i="25"/>
  <c r="Q365" i="25" s="1"/>
  <c r="R365" i="25" s="1"/>
  <c r="S365" i="25" s="1"/>
  <c r="U365" i="25"/>
  <c r="P366" i="25"/>
  <c r="Q366" i="25" s="1"/>
  <c r="R366" i="25" s="1"/>
  <c r="S366" i="25" s="1"/>
  <c r="U366" i="25"/>
  <c r="P367" i="25"/>
  <c r="Q367" i="25" s="1"/>
  <c r="R367" i="25" s="1"/>
  <c r="S367" i="25" s="1"/>
  <c r="U367" i="25"/>
  <c r="P368" i="25"/>
  <c r="Q368" i="25" s="1"/>
  <c r="R368" i="25" s="1"/>
  <c r="S368" i="25" s="1"/>
  <c r="U368" i="25"/>
  <c r="P369" i="25"/>
  <c r="Q369" i="25" s="1"/>
  <c r="R369" i="25" s="1"/>
  <c r="S369" i="25" s="1"/>
  <c r="U369" i="25"/>
  <c r="P370" i="25"/>
  <c r="Q370" i="25" s="1"/>
  <c r="R370" i="25" s="1"/>
  <c r="S370" i="25" s="1"/>
  <c r="U370" i="25"/>
  <c r="P371" i="25"/>
  <c r="Q371" i="25" s="1"/>
  <c r="R371" i="25" s="1"/>
  <c r="S371" i="25" s="1"/>
  <c r="U371" i="25"/>
  <c r="P372" i="25"/>
  <c r="Q372" i="25" s="1"/>
  <c r="R372" i="25" s="1"/>
  <c r="S372" i="25" s="1"/>
  <c r="U372" i="25"/>
  <c r="P373" i="25"/>
  <c r="Q373" i="25" s="1"/>
  <c r="R373" i="25" s="1"/>
  <c r="S373" i="25" s="1"/>
  <c r="U373" i="25"/>
  <c r="P374" i="25"/>
  <c r="Q374" i="25" s="1"/>
  <c r="R374" i="25" s="1"/>
  <c r="S374" i="25" s="1"/>
  <c r="U374" i="25"/>
  <c r="P375" i="25"/>
  <c r="Q375" i="25" s="1"/>
  <c r="R375" i="25" s="1"/>
  <c r="S375" i="25" s="1"/>
  <c r="U375" i="25"/>
  <c r="P376" i="25"/>
  <c r="Q376" i="25" s="1"/>
  <c r="R376" i="25" s="1"/>
  <c r="S376" i="25" s="1"/>
  <c r="U376" i="25"/>
  <c r="P379" i="25"/>
  <c r="Q379" i="25" s="1"/>
  <c r="R379" i="25" s="1"/>
  <c r="S379" i="25" s="1"/>
  <c r="U379" i="25"/>
  <c r="P380" i="25"/>
  <c r="Q380" i="25" s="1"/>
  <c r="R380" i="25" s="1"/>
  <c r="S380" i="25" s="1"/>
  <c r="U380" i="25"/>
  <c r="P381" i="25"/>
  <c r="Q381" i="25" s="1"/>
  <c r="R381" i="25" s="1"/>
  <c r="S381" i="25" s="1"/>
  <c r="U381" i="25"/>
  <c r="P382" i="25"/>
  <c r="Q382" i="25" s="1"/>
  <c r="R382" i="25" s="1"/>
  <c r="S382" i="25" s="1"/>
  <c r="U382" i="25"/>
  <c r="P383" i="25"/>
  <c r="Q383" i="25" s="1"/>
  <c r="R383" i="25" s="1"/>
  <c r="S383" i="25" s="1"/>
  <c r="U383" i="25"/>
  <c r="P384" i="25"/>
  <c r="Q384" i="25" s="1"/>
  <c r="R384" i="25" s="1"/>
  <c r="S384" i="25" s="1"/>
  <c r="U384" i="25"/>
  <c r="P385" i="25"/>
  <c r="Q385" i="25" s="1"/>
  <c r="R385" i="25" s="1"/>
  <c r="S385" i="25" s="1"/>
  <c r="U385" i="25"/>
  <c r="P386" i="25"/>
  <c r="Q386" i="25" s="1"/>
  <c r="R386" i="25" s="1"/>
  <c r="S386" i="25" s="1"/>
  <c r="U386" i="25"/>
  <c r="P387" i="25"/>
  <c r="Q387" i="25" s="1"/>
  <c r="R387" i="25" s="1"/>
  <c r="S387" i="25" s="1"/>
  <c r="U387" i="25"/>
  <c r="P388" i="25"/>
  <c r="Q388" i="25" s="1"/>
  <c r="R388" i="25" s="1"/>
  <c r="S388" i="25" s="1"/>
  <c r="U388" i="25"/>
  <c r="P389" i="25"/>
  <c r="Q389" i="25" s="1"/>
  <c r="R389" i="25" s="1"/>
  <c r="S389" i="25" s="1"/>
  <c r="U389" i="25"/>
  <c r="P390" i="25"/>
  <c r="Q390" i="25" s="1"/>
  <c r="R390" i="25" s="1"/>
  <c r="S390" i="25" s="1"/>
  <c r="U390" i="25"/>
  <c r="P391" i="25"/>
  <c r="Q391" i="25" s="1"/>
  <c r="R391" i="25" s="1"/>
  <c r="S391" i="25" s="1"/>
  <c r="U391" i="25"/>
  <c r="P392" i="25"/>
  <c r="Q392" i="25" s="1"/>
  <c r="R392" i="25" s="1"/>
  <c r="S392" i="25" s="1"/>
  <c r="U392" i="25"/>
  <c r="P393" i="25"/>
  <c r="Q393" i="25" s="1"/>
  <c r="R393" i="25" s="1"/>
  <c r="S393" i="25" s="1"/>
  <c r="U393" i="25"/>
  <c r="P394" i="25"/>
  <c r="Q394" i="25" s="1"/>
  <c r="R394" i="25" s="1"/>
  <c r="S394" i="25" s="1"/>
  <c r="U394" i="25"/>
  <c r="P395" i="25"/>
  <c r="Q395" i="25" s="1"/>
  <c r="R395" i="25" s="1"/>
  <c r="S395" i="25" s="1"/>
  <c r="U395" i="25"/>
  <c r="P396" i="25"/>
  <c r="Q396" i="25" s="1"/>
  <c r="R396" i="25" s="1"/>
  <c r="S396" i="25" s="1"/>
  <c r="U396" i="25"/>
  <c r="P397" i="25"/>
  <c r="Q397" i="25" s="1"/>
  <c r="R397" i="25" s="1"/>
  <c r="S397" i="25" s="1"/>
  <c r="U397" i="25"/>
  <c r="P398" i="25"/>
  <c r="Q398" i="25" s="1"/>
  <c r="R398" i="25" s="1"/>
  <c r="S398" i="25" s="1"/>
  <c r="U398" i="25"/>
  <c r="P399" i="25"/>
  <c r="Q399" i="25" s="1"/>
  <c r="R399" i="25" s="1"/>
  <c r="S399" i="25" s="1"/>
  <c r="U399" i="25"/>
  <c r="P400" i="25"/>
  <c r="Q400" i="25" s="1"/>
  <c r="R400" i="25" s="1"/>
  <c r="S400" i="25" s="1"/>
  <c r="U400" i="25"/>
  <c r="P401" i="25"/>
  <c r="Q401" i="25" s="1"/>
  <c r="R401" i="25" s="1"/>
  <c r="S401" i="25" s="1"/>
  <c r="U401" i="25"/>
  <c r="P402" i="25"/>
  <c r="Q402" i="25" s="1"/>
  <c r="R402" i="25" s="1"/>
  <c r="S402" i="25" s="1"/>
  <c r="U402" i="25"/>
  <c r="P403" i="25"/>
  <c r="Q403" i="25" s="1"/>
  <c r="R403" i="25" s="1"/>
  <c r="S403" i="25" s="1"/>
  <c r="U403" i="25"/>
  <c r="P404" i="25"/>
  <c r="Q404" i="25" s="1"/>
  <c r="R404" i="25" s="1"/>
  <c r="S404" i="25" s="1"/>
  <c r="U404" i="25"/>
  <c r="P405" i="25"/>
  <c r="Q405" i="25" s="1"/>
  <c r="R405" i="25" s="1"/>
  <c r="S405" i="25" s="1"/>
  <c r="U405" i="25"/>
  <c r="P406" i="25"/>
  <c r="Q406" i="25" s="1"/>
  <c r="R406" i="25" s="1"/>
  <c r="S406" i="25" s="1"/>
  <c r="U406" i="25"/>
  <c r="P407" i="25"/>
  <c r="Q407" i="25" s="1"/>
  <c r="R407" i="25" s="1"/>
  <c r="S407" i="25" s="1"/>
  <c r="U407" i="25"/>
  <c r="P408" i="25"/>
  <c r="Q408" i="25" s="1"/>
  <c r="R408" i="25" s="1"/>
  <c r="S408" i="25" s="1"/>
  <c r="U408" i="25"/>
  <c r="P409" i="25"/>
  <c r="Q409" i="25" s="1"/>
  <c r="R409" i="25" s="1"/>
  <c r="S409" i="25" s="1"/>
  <c r="U409" i="25"/>
  <c r="P410" i="25"/>
  <c r="Q410" i="25" s="1"/>
  <c r="R410" i="25" s="1"/>
  <c r="S410" i="25" s="1"/>
  <c r="U410" i="25"/>
  <c r="P411" i="25"/>
  <c r="Q411" i="25" s="1"/>
  <c r="R411" i="25" s="1"/>
  <c r="S411" i="25" s="1"/>
  <c r="U411" i="25"/>
  <c r="P412" i="25"/>
  <c r="Q412" i="25" s="1"/>
  <c r="R412" i="25" s="1"/>
  <c r="S412" i="25" s="1"/>
  <c r="U412" i="25"/>
  <c r="P413" i="25"/>
  <c r="Q413" i="25" s="1"/>
  <c r="R413" i="25" s="1"/>
  <c r="S413" i="25" s="1"/>
  <c r="P414" i="25"/>
  <c r="Q414" i="25" s="1"/>
  <c r="R414" i="25" s="1"/>
  <c r="S414" i="25" s="1"/>
  <c r="P415" i="25"/>
  <c r="Q415" i="25" s="1"/>
  <c r="R415" i="25" s="1"/>
  <c r="S415" i="25" s="1"/>
  <c r="U415" i="25"/>
  <c r="P416" i="25"/>
  <c r="Q416" i="25" s="1"/>
  <c r="R416" i="25" s="1"/>
  <c r="S416" i="25" s="1"/>
  <c r="U416" i="25"/>
  <c r="P417" i="25"/>
  <c r="Q417" i="25" s="1"/>
  <c r="R417" i="25" s="1"/>
  <c r="S417" i="25" s="1"/>
  <c r="U417" i="25"/>
  <c r="P418" i="25"/>
  <c r="Q418" i="25" s="1"/>
  <c r="R418" i="25" s="1"/>
  <c r="S418" i="25" s="1"/>
  <c r="U418" i="25"/>
  <c r="P419" i="25"/>
  <c r="Q419" i="25" s="1"/>
  <c r="R419" i="25" s="1"/>
  <c r="S419" i="25" s="1"/>
  <c r="U419" i="25"/>
  <c r="P420" i="25"/>
  <c r="Q420" i="25" s="1"/>
  <c r="R420" i="25" s="1"/>
  <c r="S420" i="25" s="1"/>
  <c r="U420" i="25"/>
  <c r="P421" i="25"/>
  <c r="Q421" i="25" s="1"/>
  <c r="R421" i="25" s="1"/>
  <c r="S421" i="25" s="1"/>
  <c r="U421" i="25"/>
  <c r="P422" i="25"/>
  <c r="Q422" i="25" s="1"/>
  <c r="R422" i="25" s="1"/>
  <c r="S422" i="25" s="1"/>
  <c r="U422" i="25"/>
  <c r="P423" i="25"/>
  <c r="Q423" i="25" s="1"/>
  <c r="R423" i="25" s="1"/>
  <c r="S423" i="25" s="1"/>
  <c r="U423" i="25"/>
  <c r="P424" i="25"/>
  <c r="Q424" i="25" s="1"/>
  <c r="R424" i="25" s="1"/>
  <c r="S424" i="25" s="1"/>
  <c r="U424" i="25"/>
  <c r="P425" i="25"/>
  <c r="Q425" i="25" s="1"/>
  <c r="R425" i="25" s="1"/>
  <c r="S425" i="25" s="1"/>
  <c r="U425" i="25"/>
  <c r="P426" i="25"/>
  <c r="Q426" i="25" s="1"/>
  <c r="R426" i="25" s="1"/>
  <c r="S426" i="25" s="1"/>
  <c r="U426" i="25"/>
  <c r="P427" i="25"/>
  <c r="Q427" i="25" s="1"/>
  <c r="R427" i="25" s="1"/>
  <c r="S427" i="25" s="1"/>
  <c r="U427" i="25"/>
  <c r="P428" i="25"/>
  <c r="Q428" i="25" s="1"/>
  <c r="R428" i="25" s="1"/>
  <c r="S428" i="25" s="1"/>
  <c r="U428" i="25"/>
  <c r="P429" i="25"/>
  <c r="Q429" i="25" s="1"/>
  <c r="R429" i="25" s="1"/>
  <c r="S429" i="25" s="1"/>
  <c r="U429" i="25"/>
  <c r="P430" i="25"/>
  <c r="Q430" i="25" s="1"/>
  <c r="R430" i="25" s="1"/>
  <c r="S430" i="25" s="1"/>
  <c r="U430" i="25"/>
  <c r="P431" i="25"/>
  <c r="Q431" i="25" s="1"/>
  <c r="R431" i="25" s="1"/>
  <c r="S431" i="25" s="1"/>
  <c r="U431" i="25"/>
  <c r="P432" i="25"/>
  <c r="Q432" i="25" s="1"/>
  <c r="R432" i="25" s="1"/>
  <c r="S432" i="25" s="1"/>
  <c r="U432" i="25"/>
  <c r="P433" i="25"/>
  <c r="Q433" i="25" s="1"/>
  <c r="R433" i="25" s="1"/>
  <c r="S433" i="25" s="1"/>
  <c r="U433" i="25"/>
  <c r="P434" i="25"/>
  <c r="Q434" i="25" s="1"/>
  <c r="R434" i="25" s="1"/>
  <c r="S434" i="25" s="1"/>
  <c r="U434" i="25"/>
  <c r="P435" i="25"/>
  <c r="Q435" i="25" s="1"/>
  <c r="R435" i="25" s="1"/>
  <c r="S435" i="25" s="1"/>
  <c r="U435" i="25"/>
  <c r="P436" i="25"/>
  <c r="Q436" i="25" s="1"/>
  <c r="R436" i="25" s="1"/>
  <c r="S436" i="25" s="1"/>
  <c r="U436" i="25"/>
  <c r="P437" i="25"/>
  <c r="Q437" i="25" s="1"/>
  <c r="R437" i="25" s="1"/>
  <c r="S437" i="25" s="1"/>
  <c r="U437" i="25"/>
  <c r="P438" i="25"/>
  <c r="Q438" i="25" s="1"/>
  <c r="R438" i="25" s="1"/>
  <c r="S438" i="25" s="1"/>
  <c r="U438" i="25"/>
  <c r="P439" i="25"/>
  <c r="Q439" i="25" s="1"/>
  <c r="R439" i="25" s="1"/>
  <c r="S439" i="25" s="1"/>
  <c r="U439" i="25"/>
  <c r="P440" i="25"/>
  <c r="Q440" i="25" s="1"/>
  <c r="R440" i="25" s="1"/>
  <c r="S440" i="25" s="1"/>
  <c r="U440" i="25"/>
  <c r="P441" i="25"/>
  <c r="Q441" i="25" s="1"/>
  <c r="R441" i="25" s="1"/>
  <c r="S441" i="25" s="1"/>
  <c r="U441" i="25"/>
  <c r="P442" i="25"/>
  <c r="Q442" i="25" s="1"/>
  <c r="R442" i="25" s="1"/>
  <c r="S442" i="25" s="1"/>
  <c r="U442" i="25"/>
  <c r="P443" i="25"/>
  <c r="Q443" i="25" s="1"/>
  <c r="R443" i="25" s="1"/>
  <c r="S443" i="25" s="1"/>
  <c r="U443" i="25"/>
  <c r="P444" i="25"/>
  <c r="Q444" i="25" s="1"/>
  <c r="R444" i="25" s="1"/>
  <c r="S444" i="25" s="1"/>
  <c r="U444" i="25"/>
  <c r="P445" i="25"/>
  <c r="Q445" i="25" s="1"/>
  <c r="R445" i="25" s="1"/>
  <c r="S445" i="25" s="1"/>
  <c r="U445" i="25"/>
  <c r="P446" i="25"/>
  <c r="Q446" i="25" s="1"/>
  <c r="R446" i="25" s="1"/>
  <c r="S446" i="25" s="1"/>
  <c r="U446" i="25"/>
  <c r="P447" i="25"/>
  <c r="Q447" i="25" s="1"/>
  <c r="R447" i="25" s="1"/>
  <c r="S447" i="25" s="1"/>
  <c r="U447" i="25"/>
  <c r="P448" i="25"/>
  <c r="Q448" i="25" s="1"/>
  <c r="R448" i="25" s="1"/>
  <c r="S448" i="25" s="1"/>
  <c r="U448" i="25"/>
  <c r="P449" i="25"/>
  <c r="Q449" i="25" s="1"/>
  <c r="R449" i="25" s="1"/>
  <c r="S449" i="25" s="1"/>
  <c r="P451" i="25"/>
  <c r="Q451" i="25" s="1"/>
  <c r="R451" i="25" s="1"/>
  <c r="S451" i="25" s="1"/>
  <c r="U451" i="25"/>
  <c r="P452" i="25"/>
  <c r="Q452" i="25" s="1"/>
  <c r="R452" i="25" s="1"/>
  <c r="S452" i="25" s="1"/>
  <c r="U452" i="25"/>
  <c r="P453" i="25"/>
  <c r="Q453" i="25" s="1"/>
  <c r="R453" i="25" s="1"/>
  <c r="S453" i="25" s="1"/>
  <c r="U453" i="25"/>
  <c r="P454" i="25"/>
  <c r="Q454" i="25" s="1"/>
  <c r="R454" i="25" s="1"/>
  <c r="S454" i="25" s="1"/>
  <c r="U454" i="25"/>
  <c r="P455" i="25"/>
  <c r="Q455" i="25" s="1"/>
  <c r="R455" i="25" s="1"/>
  <c r="S455" i="25" s="1"/>
  <c r="U455" i="25"/>
  <c r="P456" i="25"/>
  <c r="Q456" i="25" s="1"/>
  <c r="R456" i="25" s="1"/>
  <c r="S456" i="25" s="1"/>
  <c r="U456" i="25"/>
  <c r="P457" i="25"/>
  <c r="Q457" i="25" s="1"/>
  <c r="R457" i="25" s="1"/>
  <c r="S457" i="25" s="1"/>
  <c r="U457" i="25"/>
  <c r="P458" i="25"/>
  <c r="Q458" i="25" s="1"/>
  <c r="R458" i="25" s="1"/>
  <c r="S458" i="25" s="1"/>
  <c r="U458" i="25"/>
  <c r="P459" i="25"/>
  <c r="Q459" i="25" s="1"/>
  <c r="R459" i="25" s="1"/>
  <c r="S459" i="25" s="1"/>
  <c r="U459" i="25"/>
  <c r="P460" i="25"/>
  <c r="Q460" i="25" s="1"/>
  <c r="R460" i="25" s="1"/>
  <c r="S460" i="25" s="1"/>
  <c r="U460" i="25"/>
  <c r="P461" i="25"/>
  <c r="Q461" i="25" s="1"/>
  <c r="R461" i="25" s="1"/>
  <c r="S461" i="25" s="1"/>
  <c r="U461" i="25"/>
  <c r="P462" i="25"/>
  <c r="Q462" i="25" s="1"/>
  <c r="R462" i="25" s="1"/>
  <c r="S462" i="25" s="1"/>
  <c r="U462" i="25"/>
  <c r="P463" i="25"/>
  <c r="Q463" i="25" s="1"/>
  <c r="R463" i="25" s="1"/>
  <c r="S463" i="25" s="1"/>
  <c r="U463" i="25"/>
  <c r="P464" i="25"/>
  <c r="Q464" i="25" s="1"/>
  <c r="R464" i="25" s="1"/>
  <c r="S464" i="25" s="1"/>
  <c r="U464" i="25"/>
  <c r="P465" i="25"/>
  <c r="Q465" i="25" s="1"/>
  <c r="R465" i="25" s="1"/>
  <c r="S465" i="25" s="1"/>
  <c r="U465" i="25"/>
  <c r="P466" i="25"/>
  <c r="Q466" i="25" s="1"/>
  <c r="R466" i="25" s="1"/>
  <c r="S466" i="25" s="1"/>
  <c r="U466" i="25"/>
  <c r="P467" i="25"/>
  <c r="Q467" i="25" s="1"/>
  <c r="R467" i="25" s="1"/>
  <c r="S467" i="25" s="1"/>
  <c r="U467" i="25"/>
  <c r="P468" i="25"/>
  <c r="Q468" i="25" s="1"/>
  <c r="R468" i="25" s="1"/>
  <c r="S468" i="25" s="1"/>
  <c r="U468" i="25"/>
  <c r="P469" i="25"/>
  <c r="Q469" i="25" s="1"/>
  <c r="R469" i="25" s="1"/>
  <c r="S469" i="25" s="1"/>
  <c r="U469" i="25"/>
  <c r="P470" i="25"/>
  <c r="Q470" i="25" s="1"/>
  <c r="R470" i="25" s="1"/>
  <c r="S470" i="25" s="1"/>
  <c r="U470" i="25"/>
  <c r="P471" i="25"/>
  <c r="Q471" i="25" s="1"/>
  <c r="R471" i="25" s="1"/>
  <c r="S471" i="25" s="1"/>
  <c r="U471" i="25"/>
  <c r="P472" i="25"/>
  <c r="Q472" i="25" s="1"/>
  <c r="R472" i="25" s="1"/>
  <c r="S472" i="25" s="1"/>
  <c r="U472" i="25"/>
  <c r="P473" i="25"/>
  <c r="Q473" i="25" s="1"/>
  <c r="R473" i="25" s="1"/>
  <c r="S473" i="25" s="1"/>
  <c r="U473" i="25"/>
  <c r="P474" i="25"/>
  <c r="Q474" i="25" s="1"/>
  <c r="R474" i="25" s="1"/>
  <c r="S474" i="25" s="1"/>
  <c r="U474" i="25"/>
  <c r="P475" i="25"/>
  <c r="Q475" i="25" s="1"/>
  <c r="R475" i="25" s="1"/>
  <c r="S475" i="25" s="1"/>
  <c r="U475" i="25"/>
  <c r="P476" i="25"/>
  <c r="Q476" i="25" s="1"/>
  <c r="R476" i="25" s="1"/>
  <c r="S476" i="25" s="1"/>
  <c r="U476" i="25"/>
  <c r="P477" i="25"/>
  <c r="Q477" i="25" s="1"/>
  <c r="R477" i="25" s="1"/>
  <c r="S477" i="25" s="1"/>
  <c r="U477" i="25"/>
  <c r="P478" i="25"/>
  <c r="Q478" i="25" s="1"/>
  <c r="R478" i="25" s="1"/>
  <c r="S478" i="25" s="1"/>
  <c r="U478" i="25"/>
  <c r="P479" i="25"/>
  <c r="Q479" i="25" s="1"/>
  <c r="R479" i="25" s="1"/>
  <c r="S479" i="25" s="1"/>
  <c r="U479" i="25"/>
  <c r="P480" i="25"/>
  <c r="Q480" i="25" s="1"/>
  <c r="R480" i="25" s="1"/>
  <c r="S480" i="25" s="1"/>
  <c r="U480" i="25"/>
  <c r="P481" i="25"/>
  <c r="Q481" i="25" s="1"/>
  <c r="R481" i="25" s="1"/>
  <c r="S481" i="25" s="1"/>
  <c r="U481" i="25"/>
  <c r="P482" i="25"/>
  <c r="Q482" i="25" s="1"/>
  <c r="R482" i="25" s="1"/>
  <c r="S482" i="25" s="1"/>
  <c r="U482" i="25"/>
  <c r="P483" i="25"/>
  <c r="Q483" i="25" s="1"/>
  <c r="R483" i="25" s="1"/>
  <c r="S483" i="25" s="1"/>
  <c r="U483" i="25"/>
  <c r="P484" i="25"/>
  <c r="Q484" i="25" s="1"/>
  <c r="R484" i="25" s="1"/>
  <c r="S484" i="25" s="1"/>
  <c r="U484" i="25"/>
  <c r="P486" i="25"/>
  <c r="Q486" i="25" s="1"/>
  <c r="R486" i="25" s="1"/>
  <c r="S486" i="25" s="1"/>
  <c r="P487" i="25"/>
  <c r="Q487" i="25" s="1"/>
  <c r="R487" i="25" s="1"/>
  <c r="S487" i="25" s="1"/>
  <c r="U487" i="25"/>
  <c r="P488" i="25"/>
  <c r="Q488" i="25" s="1"/>
  <c r="R488" i="25" s="1"/>
  <c r="S488" i="25" s="1"/>
  <c r="U488" i="25"/>
  <c r="P489" i="25"/>
  <c r="Q489" i="25" s="1"/>
  <c r="R489" i="25" s="1"/>
  <c r="S489" i="25" s="1"/>
  <c r="U489" i="25"/>
  <c r="P490" i="25"/>
  <c r="Q490" i="25" s="1"/>
  <c r="R490" i="25" s="1"/>
  <c r="S490" i="25" s="1"/>
  <c r="U490" i="25"/>
  <c r="P491" i="25"/>
  <c r="Q491" i="25" s="1"/>
  <c r="R491" i="25" s="1"/>
  <c r="S491" i="25" s="1"/>
  <c r="U491" i="25"/>
  <c r="P492" i="25"/>
  <c r="Q492" i="25" s="1"/>
  <c r="R492" i="25" s="1"/>
  <c r="S492" i="25" s="1"/>
  <c r="U492" i="25"/>
  <c r="P493" i="25"/>
  <c r="Q493" i="25" s="1"/>
  <c r="R493" i="25" s="1"/>
  <c r="S493" i="25" s="1"/>
  <c r="U493" i="25"/>
  <c r="P494" i="25"/>
  <c r="Q494" i="25" s="1"/>
  <c r="R494" i="25" s="1"/>
  <c r="S494" i="25" s="1"/>
  <c r="U494" i="25"/>
  <c r="P495" i="25"/>
  <c r="Q495" i="25" s="1"/>
  <c r="R495" i="25" s="1"/>
  <c r="S495" i="25" s="1"/>
  <c r="U495" i="25"/>
  <c r="P496" i="25"/>
  <c r="Q496" i="25" s="1"/>
  <c r="R496" i="25" s="1"/>
  <c r="S496" i="25" s="1"/>
  <c r="U496" i="25"/>
  <c r="P497" i="25"/>
  <c r="Q497" i="25" s="1"/>
  <c r="R497" i="25" s="1"/>
  <c r="S497" i="25" s="1"/>
  <c r="U497" i="25"/>
  <c r="P498" i="25"/>
  <c r="Q498" i="25" s="1"/>
  <c r="R498" i="25" s="1"/>
  <c r="S498" i="25" s="1"/>
  <c r="U498" i="25"/>
  <c r="P499" i="25"/>
  <c r="Q499" i="25" s="1"/>
  <c r="R499" i="25" s="1"/>
  <c r="S499" i="25" s="1"/>
  <c r="U499" i="25"/>
  <c r="P500" i="25"/>
  <c r="Q500" i="25" s="1"/>
  <c r="R500" i="25" s="1"/>
  <c r="S500" i="25" s="1"/>
  <c r="U500" i="25"/>
  <c r="P501" i="25"/>
  <c r="Q501" i="25" s="1"/>
  <c r="R501" i="25" s="1"/>
  <c r="S501" i="25" s="1"/>
  <c r="U501" i="25"/>
  <c r="P502" i="25"/>
  <c r="Q502" i="25" s="1"/>
  <c r="R502" i="25" s="1"/>
  <c r="S502" i="25" s="1"/>
  <c r="U502" i="25"/>
  <c r="P503" i="25"/>
  <c r="Q503" i="25" s="1"/>
  <c r="R503" i="25" s="1"/>
  <c r="S503" i="25" s="1"/>
  <c r="U503" i="25"/>
  <c r="P504" i="25"/>
  <c r="Q504" i="25" s="1"/>
  <c r="R504" i="25" s="1"/>
  <c r="S504" i="25" s="1"/>
  <c r="U504" i="25"/>
  <c r="P505" i="25"/>
  <c r="Q505" i="25" s="1"/>
  <c r="R505" i="25" s="1"/>
  <c r="S505" i="25" s="1"/>
  <c r="U505" i="25"/>
  <c r="P506" i="25"/>
  <c r="Q506" i="25" s="1"/>
  <c r="R506" i="25" s="1"/>
  <c r="S506" i="25" s="1"/>
  <c r="U506" i="25"/>
  <c r="P507" i="25"/>
  <c r="Q507" i="25" s="1"/>
  <c r="R507" i="25" s="1"/>
  <c r="S507" i="25" s="1"/>
  <c r="U507" i="25"/>
  <c r="P508" i="25"/>
  <c r="Q508" i="25" s="1"/>
  <c r="R508" i="25" s="1"/>
  <c r="S508" i="25" s="1"/>
  <c r="U508" i="25"/>
  <c r="AS9" i="25" l="1"/>
  <c r="AS8" i="25"/>
  <c r="AS7" i="25"/>
  <c r="AS6" i="25"/>
  <c r="AS5" i="25"/>
  <c r="AL6" i="25"/>
  <c r="AL7" i="25"/>
  <c r="AL8" i="25"/>
  <c r="AL9" i="25"/>
  <c r="AL5" i="25"/>
  <c r="M366" i="25" l="1"/>
  <c r="M371" i="25"/>
  <c r="M407" i="25"/>
  <c r="M446" i="25"/>
  <c r="M478" i="25"/>
  <c r="M367" i="25"/>
  <c r="M403" i="25"/>
  <c r="M402" i="25"/>
  <c r="M410" i="25"/>
  <c r="M441" i="25"/>
  <c r="M449" i="25"/>
  <c r="M473" i="25"/>
  <c r="M481" i="25"/>
  <c r="M411" i="25"/>
  <c r="M369" i="25"/>
  <c r="M376" i="25"/>
  <c r="M405" i="25"/>
  <c r="M413" i="25"/>
  <c r="M444" i="25"/>
  <c r="M476" i="25"/>
  <c r="M484" i="25"/>
  <c r="M450" i="25"/>
  <c r="M482" i="25"/>
  <c r="M372" i="25"/>
  <c r="M374" i="25"/>
  <c r="M408" i="25"/>
  <c r="M437" i="25"/>
  <c r="M439" i="25"/>
  <c r="M447" i="25"/>
  <c r="M479" i="25"/>
  <c r="M442" i="25"/>
  <c r="M365" i="25"/>
  <c r="M474" i="25"/>
  <c r="M370" i="25"/>
  <c r="M373" i="25"/>
  <c r="M412" i="25"/>
  <c r="M438" i="25"/>
  <c r="M445" i="25"/>
  <c r="M483" i="25"/>
  <c r="M440" i="25"/>
  <c r="M477" i="25"/>
  <c r="M409" i="25"/>
  <c r="M448" i="25"/>
  <c r="M475" i="25"/>
  <c r="M485" i="25"/>
  <c r="M406" i="25"/>
  <c r="M377" i="25"/>
  <c r="M378" i="25"/>
  <c r="M404" i="25"/>
  <c r="M443" i="25"/>
  <c r="M480" i="25"/>
  <c r="M375" i="25"/>
  <c r="M486" i="25"/>
  <c r="M414" i="25"/>
  <c r="M368" i="25"/>
  <c r="M401" i="25"/>
  <c r="M21" i="25"/>
  <c r="M57" i="25"/>
  <c r="M93" i="25"/>
  <c r="M129" i="25"/>
  <c r="M165" i="25"/>
  <c r="M204" i="25"/>
  <c r="M240" i="25"/>
  <c r="M277" i="25"/>
  <c r="M345" i="25"/>
  <c r="M310" i="25"/>
  <c r="M349" i="25"/>
  <c r="M20" i="25"/>
  <c r="M56" i="25"/>
  <c r="M92" i="25"/>
  <c r="M128" i="25"/>
  <c r="M201" i="25"/>
  <c r="M238" i="25"/>
  <c r="M272" i="25"/>
  <c r="M309" i="25"/>
  <c r="M314" i="25"/>
  <c r="M348" i="25"/>
  <c r="M19" i="25"/>
  <c r="M55" i="25"/>
  <c r="M91" i="25"/>
  <c r="M127" i="25"/>
  <c r="M167" i="25"/>
  <c r="M170" i="25"/>
  <c r="M206" i="25"/>
  <c r="M236" i="25"/>
  <c r="M275" i="25"/>
  <c r="M343" i="25"/>
  <c r="M24" i="25"/>
  <c r="M60" i="25"/>
  <c r="M26" i="25"/>
  <c r="M62" i="25"/>
  <c r="M98" i="25"/>
  <c r="M134" i="25"/>
  <c r="M164" i="25"/>
  <c r="M203" i="25"/>
  <c r="M241" i="25"/>
  <c r="M278" i="25"/>
  <c r="M307" i="25"/>
  <c r="M312" i="25"/>
  <c r="M346" i="25"/>
  <c r="M25" i="25"/>
  <c r="M61" i="25"/>
  <c r="M97" i="25"/>
  <c r="M133" i="25"/>
  <c r="M200" i="25"/>
  <c r="M273" i="25"/>
  <c r="M22" i="25"/>
  <c r="M163" i="25"/>
  <c r="M242" i="25"/>
  <c r="M308" i="25"/>
  <c r="M347" i="25"/>
  <c r="M166" i="25"/>
  <c r="M96" i="25"/>
  <c r="M132" i="25"/>
  <c r="M202" i="25"/>
  <c r="M239" i="25"/>
  <c r="M344" i="25"/>
  <c r="M169" i="25"/>
  <c r="M168" i="25"/>
  <c r="M274" i="25"/>
  <c r="M23" i="25"/>
  <c r="M311" i="25"/>
  <c r="M350" i="25"/>
  <c r="M95" i="25"/>
  <c r="M131" i="25"/>
  <c r="M199" i="25"/>
  <c r="M313" i="25"/>
  <c r="M59" i="25"/>
  <c r="M94" i="25"/>
  <c r="M130" i="25"/>
  <c r="M237" i="25"/>
  <c r="M276" i="25"/>
  <c r="M235" i="25"/>
  <c r="M205" i="25"/>
  <c r="M58" i="25"/>
  <c r="M271" i="25"/>
  <c r="M379" i="25"/>
  <c r="M384" i="25"/>
  <c r="M415" i="25"/>
  <c r="M454" i="25"/>
  <c r="M492" i="25"/>
  <c r="M418" i="25"/>
  <c r="M487" i="25"/>
  <c r="M382" i="25"/>
  <c r="M421" i="25"/>
  <c r="M452" i="25"/>
  <c r="M457" i="25"/>
  <c r="M490" i="25"/>
  <c r="M380" i="25"/>
  <c r="M385" i="25"/>
  <c r="M416" i="25"/>
  <c r="M455" i="25"/>
  <c r="M493" i="25"/>
  <c r="M419" i="25"/>
  <c r="M488" i="25"/>
  <c r="M489" i="25"/>
  <c r="M417" i="25"/>
  <c r="M383" i="25"/>
  <c r="M386" i="25"/>
  <c r="M422" i="25"/>
  <c r="M458" i="25"/>
  <c r="M494" i="25"/>
  <c r="M456" i="25"/>
  <c r="M491" i="25"/>
  <c r="M381" i="25"/>
  <c r="M420" i="25"/>
  <c r="M451" i="25"/>
  <c r="M453" i="25"/>
  <c r="M389" i="25"/>
  <c r="M462" i="25"/>
  <c r="M423" i="25"/>
  <c r="M461" i="25"/>
  <c r="M495" i="25"/>
  <c r="M496" i="25"/>
  <c r="M387" i="25"/>
  <c r="M426" i="25"/>
  <c r="M498" i="25"/>
  <c r="M424" i="25"/>
  <c r="M390" i="25"/>
  <c r="M459" i="25"/>
  <c r="M425" i="25"/>
  <c r="M463" i="25"/>
  <c r="M499" i="25"/>
  <c r="M497" i="25"/>
  <c r="M388" i="25"/>
  <c r="M460" i="25"/>
  <c r="M427" i="25"/>
  <c r="M391" i="25"/>
  <c r="M212" i="25"/>
  <c r="M285" i="25"/>
  <c r="M323" i="25"/>
  <c r="M36" i="25"/>
  <c r="M72" i="25"/>
  <c r="M108" i="25"/>
  <c r="M144" i="25"/>
  <c r="M176" i="25"/>
  <c r="M179" i="25"/>
  <c r="M250" i="25"/>
  <c r="M288" i="25"/>
  <c r="M321" i="25"/>
  <c r="M356" i="25"/>
  <c r="M32" i="25"/>
  <c r="M35" i="25"/>
  <c r="M71" i="25"/>
  <c r="M107" i="25"/>
  <c r="M143" i="25"/>
  <c r="M214" i="25"/>
  <c r="M248" i="25"/>
  <c r="M359" i="25"/>
  <c r="M357" i="25"/>
  <c r="M34" i="25"/>
  <c r="M70" i="25"/>
  <c r="M106" i="25"/>
  <c r="M142" i="25"/>
  <c r="M178" i="25"/>
  <c r="M286" i="25"/>
  <c r="M324" i="25"/>
  <c r="M33" i="25"/>
  <c r="M69" i="25"/>
  <c r="M105" i="25"/>
  <c r="M141" i="25"/>
  <c r="M216" i="25"/>
  <c r="M251" i="25"/>
  <c r="M177" i="25"/>
  <c r="M358" i="25"/>
  <c r="M213" i="25"/>
  <c r="M320" i="25"/>
  <c r="M249" i="25"/>
  <c r="M215" i="25"/>
  <c r="M252" i="25"/>
  <c r="M287" i="25"/>
  <c r="M284" i="25"/>
  <c r="M322" i="25"/>
  <c r="M68" i="25"/>
  <c r="M104" i="25"/>
  <c r="M140" i="25"/>
  <c r="M180" i="25"/>
  <c r="M360" i="25"/>
  <c r="M9" i="25"/>
  <c r="M17" i="25"/>
  <c r="M45" i="25"/>
  <c r="M53" i="25"/>
  <c r="M81" i="25"/>
  <c r="M89" i="25"/>
  <c r="M117" i="25"/>
  <c r="M125" i="25"/>
  <c r="M154" i="25"/>
  <c r="M193" i="25"/>
  <c r="M222" i="25"/>
  <c r="M227" i="25"/>
  <c r="M232" i="25"/>
  <c r="M260" i="25"/>
  <c r="M268" i="25"/>
  <c r="M293" i="25"/>
  <c r="M300" i="25"/>
  <c r="M336" i="25"/>
  <c r="M342" i="25"/>
  <c r="M8" i="25"/>
  <c r="M16" i="25"/>
  <c r="M18" i="25"/>
  <c r="M44" i="25"/>
  <c r="M52" i="25"/>
  <c r="M54" i="25"/>
  <c r="M80" i="25"/>
  <c r="M88" i="25"/>
  <c r="M90" i="25"/>
  <c r="M116" i="25"/>
  <c r="M124" i="25"/>
  <c r="M126" i="25"/>
  <c r="M150" i="25"/>
  <c r="M159" i="25"/>
  <c r="M190" i="25"/>
  <c r="M225" i="25"/>
  <c r="M263" i="25"/>
  <c r="M296" i="25"/>
  <c r="M298" i="25"/>
  <c r="M303" i="25"/>
  <c r="M306" i="25"/>
  <c r="M331" i="25"/>
  <c r="M339" i="25"/>
  <c r="M332" i="25"/>
  <c r="M7" i="25"/>
  <c r="M15" i="25"/>
  <c r="M43" i="25"/>
  <c r="M51" i="25"/>
  <c r="M79" i="25"/>
  <c r="M87" i="25"/>
  <c r="M115" i="25"/>
  <c r="M123" i="25"/>
  <c r="M156" i="25"/>
  <c r="M187" i="25"/>
  <c r="M195" i="25"/>
  <c r="M230" i="25"/>
  <c r="M258" i="25"/>
  <c r="M266" i="25"/>
  <c r="M334" i="25"/>
  <c r="M304" i="25"/>
  <c r="M6" i="25"/>
  <c r="M14" i="25"/>
  <c r="M42" i="25"/>
  <c r="M50" i="25"/>
  <c r="M78" i="25"/>
  <c r="M86" i="25"/>
  <c r="M114" i="25"/>
  <c r="M122" i="25"/>
  <c r="M153" i="25"/>
  <c r="M161" i="25"/>
  <c r="M192" i="25"/>
  <c r="M223" i="25"/>
  <c r="M228" i="25"/>
  <c r="M233" i="25"/>
  <c r="M261" i="25"/>
  <c r="M269" i="25"/>
  <c r="M294" i="25"/>
  <c r="M301" i="25"/>
  <c r="M329" i="25"/>
  <c r="M337" i="25"/>
  <c r="M340" i="25"/>
  <c r="M48" i="25"/>
  <c r="M5" i="25"/>
  <c r="M13" i="25"/>
  <c r="M41" i="25"/>
  <c r="M49" i="25"/>
  <c r="M77" i="25"/>
  <c r="M85" i="25"/>
  <c r="M113" i="25"/>
  <c r="M121" i="25"/>
  <c r="M149" i="25"/>
  <c r="M158" i="25"/>
  <c r="M186" i="25"/>
  <c r="M189" i="25"/>
  <c r="M197" i="25"/>
  <c r="M226" i="25"/>
  <c r="M264" i="25"/>
  <c r="M12" i="25"/>
  <c r="M229" i="25"/>
  <c r="M257" i="25"/>
  <c r="M267" i="25"/>
  <c r="M295" i="25"/>
  <c r="M333" i="25"/>
  <c r="M262" i="25"/>
  <c r="M152" i="25"/>
  <c r="M231" i="25"/>
  <c r="M297" i="25"/>
  <c r="M151" i="25"/>
  <c r="M11" i="25"/>
  <c r="M160" i="25"/>
  <c r="M341" i="25"/>
  <c r="M46" i="25"/>
  <c r="M10" i="25"/>
  <c r="M84" i="25"/>
  <c r="M120" i="25"/>
  <c r="M188" i="25"/>
  <c r="M198" i="25"/>
  <c r="M47" i="25"/>
  <c r="M299" i="25"/>
  <c r="M270" i="25"/>
  <c r="M338" i="25"/>
  <c r="M335" i="25"/>
  <c r="M83" i="25"/>
  <c r="M119" i="25"/>
  <c r="M155" i="25"/>
  <c r="M224" i="25"/>
  <c r="M234" i="25"/>
  <c r="M265" i="25"/>
  <c r="M305" i="25"/>
  <c r="M330" i="25"/>
  <c r="M185" i="25"/>
  <c r="M194" i="25"/>
  <c r="M221" i="25"/>
  <c r="M302" i="25"/>
  <c r="M196" i="25"/>
  <c r="M162" i="25"/>
  <c r="M191" i="25"/>
  <c r="M82" i="25"/>
  <c r="M118" i="25"/>
  <c r="M157" i="25"/>
  <c r="M259" i="25"/>
  <c r="M394" i="25"/>
  <c r="M428" i="25"/>
  <c r="M500" i="25"/>
  <c r="M432" i="25"/>
  <c r="M392" i="25"/>
  <c r="M431" i="25"/>
  <c r="M503" i="25"/>
  <c r="M464" i="25"/>
  <c r="M466" i="25"/>
  <c r="M468" i="25"/>
  <c r="M393" i="25"/>
  <c r="M395" i="25"/>
  <c r="M429" i="25"/>
  <c r="M501" i="25"/>
  <c r="M504" i="25"/>
  <c r="M396" i="25"/>
  <c r="M465" i="25"/>
  <c r="M430" i="25"/>
  <c r="M467" i="25"/>
  <c r="M502" i="25"/>
  <c r="M29" i="25"/>
  <c r="M65" i="25"/>
  <c r="M101" i="25"/>
  <c r="M137" i="25"/>
  <c r="M171" i="25"/>
  <c r="M245" i="25"/>
  <c r="M353" i="25"/>
  <c r="M28" i="25"/>
  <c r="M64" i="25"/>
  <c r="M100" i="25"/>
  <c r="M136" i="25"/>
  <c r="M209" i="25"/>
  <c r="M280" i="25"/>
  <c r="M27" i="25"/>
  <c r="M63" i="25"/>
  <c r="M99" i="25"/>
  <c r="M135" i="25"/>
  <c r="M173" i="25"/>
  <c r="M243" i="25"/>
  <c r="M283" i="25"/>
  <c r="M351" i="25"/>
  <c r="M315" i="25"/>
  <c r="M211" i="25"/>
  <c r="M317" i="25"/>
  <c r="M319" i="25"/>
  <c r="M354" i="25"/>
  <c r="M175" i="25"/>
  <c r="M208" i="25"/>
  <c r="M246" i="25"/>
  <c r="M281" i="25"/>
  <c r="M210" i="25"/>
  <c r="M67" i="25"/>
  <c r="M247" i="25"/>
  <c r="M31" i="25"/>
  <c r="M282" i="25"/>
  <c r="M139" i="25"/>
  <c r="M244" i="25"/>
  <c r="M207" i="25"/>
  <c r="M30" i="25"/>
  <c r="M172" i="25"/>
  <c r="M279" i="25"/>
  <c r="M316" i="25"/>
  <c r="M352" i="25"/>
  <c r="M138" i="25"/>
  <c r="M174" i="25"/>
  <c r="M318" i="25"/>
  <c r="M355" i="25"/>
  <c r="M103" i="25"/>
  <c r="M102" i="25"/>
  <c r="M66" i="25"/>
  <c r="M37" i="25"/>
  <c r="M73" i="25"/>
  <c r="M109" i="25"/>
  <c r="M145" i="25"/>
  <c r="M182" i="25"/>
  <c r="M220" i="25"/>
  <c r="M328" i="25"/>
  <c r="M361" i="25"/>
  <c r="M40" i="25"/>
  <c r="M217" i="25"/>
  <c r="M255" i="25"/>
  <c r="M364" i="25"/>
  <c r="M184" i="25"/>
  <c r="M291" i="25"/>
  <c r="M326" i="25"/>
  <c r="M181" i="25"/>
  <c r="M219" i="25"/>
  <c r="M253" i="25"/>
  <c r="M362" i="25"/>
  <c r="M289" i="25"/>
  <c r="M256" i="25"/>
  <c r="M75" i="25"/>
  <c r="M111" i="25"/>
  <c r="M147" i="25"/>
  <c r="M290" i="25"/>
  <c r="M325" i="25"/>
  <c r="M74" i="25"/>
  <c r="M110" i="25"/>
  <c r="M146" i="25"/>
  <c r="M254" i="25"/>
  <c r="M292" i="25"/>
  <c r="M327" i="25"/>
  <c r="M148" i="25"/>
  <c r="M76" i="25"/>
  <c r="M218" i="25"/>
  <c r="M39" i="25"/>
  <c r="M183" i="25"/>
  <c r="M363" i="25"/>
  <c r="M38" i="25"/>
  <c r="M112" i="25"/>
  <c r="M399" i="25"/>
  <c r="M436" i="25"/>
  <c r="M470" i="25"/>
  <c r="M508" i="25"/>
  <c r="M397" i="25"/>
  <c r="M434" i="25"/>
  <c r="M506" i="25"/>
  <c r="M400" i="25"/>
  <c r="M471" i="25"/>
  <c r="M435" i="25"/>
  <c r="M472" i="25"/>
  <c r="M469" i="25"/>
  <c r="M505" i="25"/>
  <c r="M433" i="25"/>
  <c r="M507" i="25"/>
  <c r="M398" i="25"/>
  <c r="F413" i="25"/>
  <c r="F414" i="25"/>
  <c r="F415" i="25"/>
  <c r="F449" i="25"/>
  <c r="F450" i="25"/>
  <c r="F485" i="25"/>
  <c r="F486" i="25"/>
  <c r="F487" i="25"/>
  <c r="F377" i="25"/>
  <c r="F378" i="25"/>
  <c r="F379" i="25"/>
  <c r="F341" i="25"/>
  <c r="F342" i="25"/>
  <c r="F305" i="25"/>
  <c r="F306" i="25"/>
  <c r="F269" i="25"/>
  <c r="F270" i="25"/>
  <c r="F233" i="25"/>
  <c r="F234" i="25"/>
  <c r="F197" i="25"/>
  <c r="F198" i="25"/>
  <c r="F161" i="25"/>
  <c r="F162" i="25"/>
  <c r="F125" i="25"/>
  <c r="F126" i="25"/>
  <c r="F89" i="25"/>
  <c r="F90" i="25"/>
  <c r="F17" i="25"/>
  <c r="F18" i="25"/>
  <c r="F53" i="25"/>
  <c r="F54" i="25"/>
  <c r="S61" i="27"/>
  <c r="Q6" i="30"/>
  <c r="S61" i="30"/>
  <c r="Q5" i="30"/>
  <c r="Q4" i="30"/>
  <c r="W378" i="25" l="1"/>
  <c r="X378" i="25"/>
  <c r="AA378" i="25"/>
  <c r="Y378" i="25"/>
  <c r="Z378" i="25"/>
  <c r="AA233" i="25"/>
  <c r="Z233" i="25"/>
  <c r="Y233" i="25"/>
  <c r="X233" i="25"/>
  <c r="W233" i="25"/>
  <c r="W54" i="25"/>
  <c r="Y54" i="25"/>
  <c r="X54" i="25"/>
  <c r="AA54" i="25"/>
  <c r="Z54" i="25"/>
  <c r="W305" i="25"/>
  <c r="X305" i="25"/>
  <c r="Z305" i="25"/>
  <c r="AA305" i="25"/>
  <c r="Y305" i="25"/>
  <c r="AA125" i="25"/>
  <c r="Z125" i="25"/>
  <c r="Y125" i="25"/>
  <c r="X125" i="25"/>
  <c r="W125" i="25"/>
  <c r="W414" i="25"/>
  <c r="X414" i="25"/>
  <c r="Y414" i="25"/>
  <c r="AA414" i="25"/>
  <c r="Z414" i="25"/>
  <c r="W450" i="25"/>
  <c r="X450" i="25"/>
  <c r="Y450" i="25"/>
  <c r="Z450" i="25"/>
  <c r="AA450" i="25"/>
  <c r="Y162" i="25"/>
  <c r="X162" i="25"/>
  <c r="W162" i="25"/>
  <c r="AA162" i="25"/>
  <c r="Z162" i="25"/>
  <c r="W270" i="25"/>
  <c r="X270" i="25"/>
  <c r="Z270" i="25"/>
  <c r="Y270" i="25"/>
  <c r="AA270" i="25"/>
  <c r="W126" i="25"/>
  <c r="Z126" i="25"/>
  <c r="Y126" i="25"/>
  <c r="AA126" i="25"/>
  <c r="X126" i="25"/>
  <c r="X486" i="25"/>
  <c r="W486" i="25"/>
  <c r="AA486" i="25"/>
  <c r="Y486" i="25"/>
  <c r="Z486" i="25"/>
  <c r="Z485" i="25"/>
  <c r="AA485" i="25"/>
  <c r="W485" i="25"/>
  <c r="X485" i="25"/>
  <c r="Y485" i="25"/>
  <c r="Y377" i="25"/>
  <c r="X377" i="25"/>
  <c r="W377" i="25"/>
  <c r="AA377" i="25"/>
  <c r="Z377" i="25"/>
  <c r="W234" i="25"/>
  <c r="Y234" i="25"/>
  <c r="X234" i="25"/>
  <c r="Z234" i="25"/>
  <c r="AA234" i="25"/>
  <c r="AA341" i="25"/>
  <c r="Z341" i="25"/>
  <c r="Y341" i="25"/>
  <c r="W341" i="25"/>
  <c r="X341" i="25"/>
  <c r="Z197" i="25"/>
  <c r="AA197" i="25"/>
  <c r="Y197" i="25"/>
  <c r="W197" i="25"/>
  <c r="X197" i="25"/>
  <c r="Z18" i="25"/>
  <c r="AA18" i="25"/>
  <c r="W18" i="25"/>
  <c r="X18" i="25"/>
  <c r="Y18" i="25"/>
  <c r="AA89" i="25"/>
  <c r="Z89" i="25"/>
  <c r="Y89" i="25"/>
  <c r="X89" i="25"/>
  <c r="W89" i="25"/>
  <c r="W17" i="25"/>
  <c r="X17" i="25"/>
  <c r="Y17" i="25"/>
  <c r="Z17" i="25"/>
  <c r="AA17" i="25"/>
  <c r="W306" i="25"/>
  <c r="X306" i="25"/>
  <c r="Y306" i="25"/>
  <c r="Z306" i="25"/>
  <c r="AA306" i="25"/>
  <c r="W161" i="25"/>
  <c r="Y161" i="25"/>
  <c r="X161" i="25"/>
  <c r="AA161" i="25"/>
  <c r="Z161" i="25"/>
  <c r="Z449" i="25"/>
  <c r="W449" i="25"/>
  <c r="Y449" i="25"/>
  <c r="AA449" i="25"/>
  <c r="X449" i="25"/>
  <c r="W198" i="25"/>
  <c r="AA198" i="25"/>
  <c r="Z198" i="25"/>
  <c r="Y198" i="25"/>
  <c r="X198" i="25"/>
  <c r="Z90" i="25"/>
  <c r="W90" i="25"/>
  <c r="X90" i="25"/>
  <c r="Y90" i="25"/>
  <c r="AA90" i="25"/>
  <c r="W53" i="25"/>
  <c r="AA53" i="25"/>
  <c r="Z53" i="25"/>
  <c r="Y53" i="25"/>
  <c r="X53" i="25"/>
  <c r="W413" i="25"/>
  <c r="X413" i="25"/>
  <c r="AA413" i="25"/>
  <c r="Y413" i="25"/>
  <c r="Z413" i="25"/>
  <c r="Y269" i="25"/>
  <c r="X269" i="25"/>
  <c r="W269" i="25"/>
  <c r="Z269" i="25"/>
  <c r="AA269" i="25"/>
  <c r="W342" i="25"/>
  <c r="Y342" i="25"/>
  <c r="AA342" i="25"/>
  <c r="X342" i="25"/>
  <c r="Z342" i="25"/>
  <c r="Q6" i="27"/>
  <c r="Q5" i="27"/>
  <c r="Q4" i="27"/>
  <c r="W508" i="25"/>
  <c r="W507" i="25"/>
  <c r="W506" i="25"/>
  <c r="W505" i="25"/>
  <c r="W504" i="25"/>
  <c r="W503" i="25"/>
  <c r="W502" i="25"/>
  <c r="W501" i="25"/>
  <c r="W500" i="25"/>
  <c r="W499" i="25"/>
  <c r="W498" i="25"/>
  <c r="W497" i="25"/>
  <c r="W496" i="25"/>
  <c r="W495" i="25"/>
  <c r="W494" i="25"/>
  <c r="W493" i="25"/>
  <c r="W492" i="25"/>
  <c r="W491" i="25"/>
  <c r="W490" i="25"/>
  <c r="W489" i="25"/>
  <c r="W488" i="25"/>
  <c r="W487" i="25"/>
  <c r="W484" i="25"/>
  <c r="W483" i="25"/>
  <c r="W482" i="25"/>
  <c r="W481" i="25"/>
  <c r="W480" i="25"/>
  <c r="W479" i="25"/>
  <c r="W478" i="25"/>
  <c r="W477" i="25"/>
  <c r="W476" i="25"/>
  <c r="W475" i="25"/>
  <c r="W474" i="25"/>
  <c r="W473" i="25"/>
  <c r="W436" i="25"/>
  <c r="W435" i="25"/>
  <c r="W434" i="25"/>
  <c r="W433" i="25"/>
  <c r="W432" i="25"/>
  <c r="W431" i="25"/>
  <c r="W430" i="25"/>
  <c r="W429" i="25"/>
  <c r="W428" i="25"/>
  <c r="W427" i="25"/>
  <c r="W426" i="25"/>
  <c r="W425" i="25"/>
  <c r="W424" i="25"/>
  <c r="W423" i="25"/>
  <c r="W422" i="25"/>
  <c r="W421" i="25"/>
  <c r="W420" i="25"/>
  <c r="W419" i="25"/>
  <c r="W418" i="25"/>
  <c r="W417" i="25"/>
  <c r="W416" i="25"/>
  <c r="W415" i="25"/>
  <c r="W412" i="25"/>
  <c r="W411" i="25"/>
  <c r="W410" i="25"/>
  <c r="W409" i="25"/>
  <c r="W408" i="25"/>
  <c r="W407" i="25"/>
  <c r="W406" i="25"/>
  <c r="W405" i="25"/>
  <c r="W404" i="25"/>
  <c r="W403" i="25"/>
  <c r="W402" i="25"/>
  <c r="W401" i="25"/>
  <c r="W364" i="25"/>
  <c r="W363" i="25"/>
  <c r="W362" i="25"/>
  <c r="W361" i="25"/>
  <c r="W360" i="25"/>
  <c r="W359" i="25"/>
  <c r="W358" i="25"/>
  <c r="W357" i="25"/>
  <c r="W356" i="25"/>
  <c r="W355" i="25"/>
  <c r="W354" i="25"/>
  <c r="W353" i="25"/>
  <c r="W352" i="25"/>
  <c r="W351" i="25"/>
  <c r="W350" i="25"/>
  <c r="W349" i="25"/>
  <c r="W348" i="25"/>
  <c r="W347" i="25"/>
  <c r="W346" i="25"/>
  <c r="W345" i="25"/>
  <c r="W344" i="25"/>
  <c r="W343" i="25"/>
  <c r="W340" i="25"/>
  <c r="W339" i="25"/>
  <c r="W338" i="25"/>
  <c r="W337" i="25"/>
  <c r="W336" i="25"/>
  <c r="W335" i="25"/>
  <c r="W334" i="25"/>
  <c r="W333" i="25"/>
  <c r="W332" i="25"/>
  <c r="W331" i="25"/>
  <c r="W330" i="25"/>
  <c r="W329" i="25"/>
  <c r="W292" i="25"/>
  <c r="W291" i="25"/>
  <c r="W290" i="25"/>
  <c r="W289" i="25"/>
  <c r="W288" i="25"/>
  <c r="W287" i="25"/>
  <c r="W286" i="25"/>
  <c r="W285" i="25"/>
  <c r="W284" i="25"/>
  <c r="W283" i="25"/>
  <c r="W282" i="25"/>
  <c r="W281" i="25"/>
  <c r="W280" i="25"/>
  <c r="W279" i="25"/>
  <c r="W278" i="25"/>
  <c r="W277" i="25"/>
  <c r="W276" i="25"/>
  <c r="W275" i="25"/>
  <c r="W274" i="25"/>
  <c r="W273" i="25"/>
  <c r="W272" i="25"/>
  <c r="W271" i="25"/>
  <c r="W268" i="25"/>
  <c r="W267" i="25"/>
  <c r="W266" i="25"/>
  <c r="W265" i="25"/>
  <c r="W264" i="25"/>
  <c r="W263" i="25"/>
  <c r="W262" i="25"/>
  <c r="W261" i="25"/>
  <c r="W260" i="25"/>
  <c r="W259" i="25"/>
  <c r="W258" i="25"/>
  <c r="W257" i="25"/>
  <c r="Y220" i="25"/>
  <c r="X220" i="25"/>
  <c r="W220" i="25"/>
  <c r="Y219" i="25"/>
  <c r="X219" i="25"/>
  <c r="W219" i="25"/>
  <c r="Y218" i="25"/>
  <c r="X218" i="25"/>
  <c r="W218" i="25"/>
  <c r="Y217" i="25"/>
  <c r="X217" i="25"/>
  <c r="W217" i="25"/>
  <c r="AA216" i="25"/>
  <c r="Z216" i="25"/>
  <c r="Y216" i="25"/>
  <c r="X216" i="25"/>
  <c r="W216" i="25"/>
  <c r="AA215" i="25"/>
  <c r="Z215" i="25"/>
  <c r="Y215" i="25"/>
  <c r="X215" i="25"/>
  <c r="W215" i="25"/>
  <c r="AA214" i="25"/>
  <c r="Z214" i="25"/>
  <c r="Y214" i="25"/>
  <c r="X214" i="25"/>
  <c r="W214" i="25"/>
  <c r="AA213" i="25"/>
  <c r="Z213" i="25"/>
  <c r="Y213" i="25"/>
  <c r="X213" i="25"/>
  <c r="W213" i="25"/>
  <c r="AA212" i="25"/>
  <c r="Z212" i="25"/>
  <c r="Y212" i="25"/>
  <c r="X212" i="25"/>
  <c r="W212" i="25"/>
  <c r="AA211" i="25"/>
  <c r="Z211" i="25"/>
  <c r="Y211" i="25"/>
  <c r="X211" i="25"/>
  <c r="W211" i="25"/>
  <c r="AA210" i="25"/>
  <c r="Z210" i="25"/>
  <c r="Y210" i="25"/>
  <c r="X210" i="25"/>
  <c r="W210" i="25"/>
  <c r="AA209" i="25"/>
  <c r="Z209" i="25"/>
  <c r="Y209" i="25"/>
  <c r="X209" i="25"/>
  <c r="W209" i="25"/>
  <c r="AA208" i="25"/>
  <c r="Z208" i="25"/>
  <c r="Y208" i="25"/>
  <c r="X208" i="25"/>
  <c r="W208" i="25"/>
  <c r="AA207" i="25"/>
  <c r="Z207" i="25"/>
  <c r="Y207" i="25"/>
  <c r="X207" i="25"/>
  <c r="W207" i="25"/>
  <c r="AA206" i="25"/>
  <c r="Z206" i="25"/>
  <c r="Y206" i="25"/>
  <c r="X206" i="25"/>
  <c r="W206" i="25"/>
  <c r="AA205" i="25"/>
  <c r="Z205" i="25"/>
  <c r="Y205" i="25"/>
  <c r="X205" i="25"/>
  <c r="W205" i="25"/>
  <c r="AA204" i="25"/>
  <c r="Z204" i="25"/>
  <c r="Y204" i="25"/>
  <c r="X204" i="25"/>
  <c r="W204" i="25"/>
  <c r="AA203" i="25"/>
  <c r="Z203" i="25"/>
  <c r="Y203" i="25"/>
  <c r="X203" i="25"/>
  <c r="W203" i="25"/>
  <c r="AA202" i="25"/>
  <c r="Z202" i="25"/>
  <c r="Y202" i="25"/>
  <c r="X202" i="25"/>
  <c r="W202" i="25"/>
  <c r="AA201" i="25"/>
  <c r="Z201" i="25"/>
  <c r="Y201" i="25"/>
  <c r="X201" i="25"/>
  <c r="W201" i="25"/>
  <c r="AA200" i="25"/>
  <c r="Z200" i="25"/>
  <c r="Y200" i="25"/>
  <c r="X200" i="25"/>
  <c r="W200" i="25"/>
  <c r="AA199" i="25"/>
  <c r="Z199" i="25"/>
  <c r="Y199" i="25"/>
  <c r="X199" i="25"/>
  <c r="W199" i="25"/>
  <c r="AA196" i="25"/>
  <c r="Z196" i="25"/>
  <c r="Y196" i="25"/>
  <c r="X196" i="25"/>
  <c r="W196" i="25"/>
  <c r="AA195" i="25"/>
  <c r="Z195" i="25"/>
  <c r="Y195" i="25"/>
  <c r="X195" i="25"/>
  <c r="W195" i="25"/>
  <c r="AA194" i="25"/>
  <c r="Z194" i="25"/>
  <c r="Y194" i="25"/>
  <c r="X194" i="25"/>
  <c r="W194" i="25"/>
  <c r="AA193" i="25"/>
  <c r="Z193" i="25"/>
  <c r="Y193" i="25"/>
  <c r="X193" i="25"/>
  <c r="W193" i="25"/>
  <c r="AA192" i="25"/>
  <c r="Z192" i="25"/>
  <c r="Y192" i="25"/>
  <c r="X192" i="25"/>
  <c r="W192" i="25"/>
  <c r="AA191" i="25"/>
  <c r="Z191" i="25"/>
  <c r="Y191" i="25"/>
  <c r="X191" i="25"/>
  <c r="W191" i="25"/>
  <c r="AA190" i="25"/>
  <c r="Z190" i="25"/>
  <c r="Y190" i="25"/>
  <c r="X190" i="25"/>
  <c r="W190" i="25"/>
  <c r="AA189" i="25"/>
  <c r="Z189" i="25"/>
  <c r="Y189" i="25"/>
  <c r="X189" i="25"/>
  <c r="W189" i="25"/>
  <c r="AA188" i="25"/>
  <c r="Z188" i="25"/>
  <c r="Y188" i="25"/>
  <c r="X188" i="25"/>
  <c r="W188" i="25"/>
  <c r="AA187" i="25"/>
  <c r="Z187" i="25"/>
  <c r="Y187" i="25"/>
  <c r="X187" i="25"/>
  <c r="W187" i="25"/>
  <c r="AA186" i="25"/>
  <c r="Z186" i="25"/>
  <c r="Y186" i="25"/>
  <c r="X186" i="25"/>
  <c r="W186" i="25"/>
  <c r="AA185" i="25"/>
  <c r="Z185" i="25"/>
  <c r="Y185" i="25"/>
  <c r="X185" i="25"/>
  <c r="W185" i="25"/>
  <c r="AA148" i="25"/>
  <c r="Z148" i="25"/>
  <c r="Y148" i="25"/>
  <c r="X148" i="25"/>
  <c r="W148" i="25"/>
  <c r="AA147" i="25"/>
  <c r="Z147" i="25"/>
  <c r="Y147" i="25"/>
  <c r="X147" i="25"/>
  <c r="W147" i="25"/>
  <c r="AA146" i="25"/>
  <c r="Z146" i="25"/>
  <c r="Y146" i="25"/>
  <c r="X146" i="25"/>
  <c r="W146" i="25"/>
  <c r="AA145" i="25"/>
  <c r="Z145" i="25"/>
  <c r="Y145" i="25"/>
  <c r="X145" i="25"/>
  <c r="W145" i="25"/>
  <c r="AA144" i="25"/>
  <c r="Z144" i="25"/>
  <c r="Y144" i="25"/>
  <c r="X144" i="25"/>
  <c r="W144" i="25"/>
  <c r="AA143" i="25"/>
  <c r="Z143" i="25"/>
  <c r="Y143" i="25"/>
  <c r="X143" i="25"/>
  <c r="W143" i="25"/>
  <c r="AA142" i="25"/>
  <c r="Z142" i="25"/>
  <c r="Y142" i="25"/>
  <c r="X142" i="25"/>
  <c r="W142" i="25"/>
  <c r="AA141" i="25"/>
  <c r="Z141" i="25"/>
  <c r="Y141" i="25"/>
  <c r="X141" i="25"/>
  <c r="W141" i="25"/>
  <c r="AA140" i="25"/>
  <c r="Z140" i="25"/>
  <c r="Y140" i="25"/>
  <c r="X140" i="25"/>
  <c r="W140" i="25"/>
  <c r="AA139" i="25"/>
  <c r="Z139" i="25"/>
  <c r="Y139" i="25"/>
  <c r="X139" i="25"/>
  <c r="W139" i="25"/>
  <c r="AA138" i="25"/>
  <c r="Z138" i="25"/>
  <c r="Y138" i="25"/>
  <c r="X138" i="25"/>
  <c r="W138" i="25"/>
  <c r="AA137" i="25"/>
  <c r="Z137" i="25"/>
  <c r="Y137" i="25"/>
  <c r="X137" i="25"/>
  <c r="W137" i="25"/>
  <c r="AA136" i="25"/>
  <c r="Z136" i="25"/>
  <c r="Y136" i="25"/>
  <c r="X136" i="25"/>
  <c r="W136" i="25"/>
  <c r="AA135" i="25"/>
  <c r="Z135" i="25"/>
  <c r="Y135" i="25"/>
  <c r="X135" i="25"/>
  <c r="W135" i="25"/>
  <c r="AA134" i="25"/>
  <c r="Z134" i="25"/>
  <c r="Y134" i="25"/>
  <c r="X134" i="25"/>
  <c r="W134" i="25"/>
  <c r="AA133" i="25"/>
  <c r="Z133" i="25"/>
  <c r="Y133" i="25"/>
  <c r="X133" i="25"/>
  <c r="W133" i="25"/>
  <c r="AA132" i="25"/>
  <c r="Z132" i="25"/>
  <c r="Y132" i="25"/>
  <c r="X132" i="25"/>
  <c r="W132" i="25"/>
  <c r="AA131" i="25"/>
  <c r="Z131" i="25"/>
  <c r="Y131" i="25"/>
  <c r="X131" i="25"/>
  <c r="W131" i="25"/>
  <c r="AA130" i="25"/>
  <c r="Z130" i="25"/>
  <c r="Y130" i="25"/>
  <c r="X130" i="25"/>
  <c r="W130" i="25"/>
  <c r="AA129" i="25"/>
  <c r="Z129" i="25"/>
  <c r="Y129" i="25"/>
  <c r="X129" i="25"/>
  <c r="W129" i="25"/>
  <c r="AA128" i="25"/>
  <c r="Z128" i="25"/>
  <c r="Y128" i="25"/>
  <c r="X128" i="25"/>
  <c r="W128" i="25"/>
  <c r="AA127" i="25"/>
  <c r="Z127" i="25"/>
  <c r="Y127" i="25"/>
  <c r="X127" i="25"/>
  <c r="W127" i="25"/>
  <c r="AA124" i="25"/>
  <c r="Z124" i="25"/>
  <c r="Y124" i="25"/>
  <c r="X124" i="25"/>
  <c r="W124" i="25"/>
  <c r="AA123" i="25"/>
  <c r="Z123" i="25"/>
  <c r="Y123" i="25"/>
  <c r="X123" i="25"/>
  <c r="W123" i="25"/>
  <c r="AA122" i="25"/>
  <c r="Z122" i="25"/>
  <c r="Y122" i="25"/>
  <c r="X122" i="25"/>
  <c r="W122" i="25"/>
  <c r="AA121" i="25"/>
  <c r="Z121" i="25"/>
  <c r="Y121" i="25"/>
  <c r="X121" i="25"/>
  <c r="W121" i="25"/>
  <c r="AA120" i="25"/>
  <c r="Z120" i="25"/>
  <c r="Y120" i="25"/>
  <c r="X120" i="25"/>
  <c r="W120" i="25"/>
  <c r="AA119" i="25"/>
  <c r="Z119" i="25"/>
  <c r="Y119" i="25"/>
  <c r="X119" i="25"/>
  <c r="W119" i="25"/>
  <c r="AA118" i="25"/>
  <c r="Z118" i="25"/>
  <c r="Y118" i="25"/>
  <c r="X118" i="25"/>
  <c r="W118" i="25"/>
  <c r="AA117" i="25"/>
  <c r="Z117" i="25"/>
  <c r="Y117" i="25"/>
  <c r="X117" i="25"/>
  <c r="W117" i="25"/>
  <c r="AA116" i="25"/>
  <c r="Z116" i="25"/>
  <c r="Y116" i="25"/>
  <c r="X116" i="25"/>
  <c r="W116" i="25"/>
  <c r="AA115" i="25"/>
  <c r="Z115" i="25"/>
  <c r="Y115" i="25"/>
  <c r="X115" i="25"/>
  <c r="W115" i="25"/>
  <c r="AA114" i="25"/>
  <c r="Z114" i="25"/>
  <c r="Y114" i="25"/>
  <c r="X114" i="25"/>
  <c r="W114" i="25"/>
  <c r="AA113" i="25"/>
  <c r="Z113" i="25"/>
  <c r="Y113" i="25"/>
  <c r="X113" i="25"/>
  <c r="W113" i="25"/>
  <c r="AA76" i="25"/>
  <c r="Z76" i="25"/>
  <c r="Y76" i="25"/>
  <c r="X76" i="25"/>
  <c r="W76" i="25"/>
  <c r="AA75" i="25"/>
  <c r="Z75" i="25"/>
  <c r="Y75" i="25"/>
  <c r="X75" i="25"/>
  <c r="W75" i="25"/>
  <c r="AA74" i="25"/>
  <c r="Z74" i="25"/>
  <c r="Y74" i="25"/>
  <c r="X74" i="25"/>
  <c r="W74" i="25"/>
  <c r="AA73" i="25"/>
  <c r="Z73" i="25"/>
  <c r="Y73" i="25"/>
  <c r="X73" i="25"/>
  <c r="W73" i="25"/>
  <c r="AA72" i="25"/>
  <c r="Z72" i="25"/>
  <c r="Y72" i="25"/>
  <c r="X72" i="25"/>
  <c r="W72" i="25"/>
  <c r="AA71" i="25"/>
  <c r="Z71" i="25"/>
  <c r="Y71" i="25"/>
  <c r="X71" i="25"/>
  <c r="W71" i="25"/>
  <c r="AA70" i="25"/>
  <c r="Z70" i="25"/>
  <c r="Y70" i="25"/>
  <c r="X70" i="25"/>
  <c r="W70" i="25"/>
  <c r="AA69" i="25"/>
  <c r="Z69" i="25"/>
  <c r="Y69" i="25"/>
  <c r="X69" i="25"/>
  <c r="W69" i="25"/>
  <c r="AA68" i="25"/>
  <c r="Z68" i="25"/>
  <c r="Y68" i="25"/>
  <c r="X68" i="25"/>
  <c r="W68" i="25"/>
  <c r="AA67" i="25"/>
  <c r="Z67" i="25"/>
  <c r="Y67" i="25"/>
  <c r="X67" i="25"/>
  <c r="W67" i="25"/>
  <c r="AA66" i="25"/>
  <c r="Z66" i="25"/>
  <c r="Y66" i="25"/>
  <c r="X66" i="25"/>
  <c r="W66" i="25"/>
  <c r="AA65" i="25"/>
  <c r="Z65" i="25"/>
  <c r="Y65" i="25"/>
  <c r="X65" i="25"/>
  <c r="W65" i="25"/>
  <c r="AA64" i="25"/>
  <c r="Z64" i="25"/>
  <c r="Y64" i="25"/>
  <c r="X64" i="25"/>
  <c r="W64" i="25"/>
  <c r="AA63" i="25"/>
  <c r="Z63" i="25"/>
  <c r="Y63" i="25"/>
  <c r="X63" i="25"/>
  <c r="W63" i="25"/>
  <c r="AA62" i="25"/>
  <c r="Z62" i="25"/>
  <c r="Y62" i="25"/>
  <c r="X62" i="25"/>
  <c r="W62" i="25"/>
  <c r="AA61" i="25"/>
  <c r="Z61" i="25"/>
  <c r="Y61" i="25"/>
  <c r="X61" i="25"/>
  <c r="W61" i="25"/>
  <c r="AA60" i="25"/>
  <c r="Z60" i="25"/>
  <c r="Y60" i="25"/>
  <c r="X60" i="25"/>
  <c r="W60" i="25"/>
  <c r="AA59" i="25"/>
  <c r="Z59" i="25"/>
  <c r="Y59" i="25"/>
  <c r="X59" i="25"/>
  <c r="W59" i="25"/>
  <c r="AA58" i="25"/>
  <c r="Z58" i="25"/>
  <c r="Y58" i="25"/>
  <c r="X58" i="25"/>
  <c r="W58" i="25"/>
  <c r="AA57" i="25"/>
  <c r="Z57" i="25"/>
  <c r="Y57" i="25"/>
  <c r="X57" i="25"/>
  <c r="W57" i="25"/>
  <c r="AA56" i="25"/>
  <c r="Z56" i="25"/>
  <c r="Y56" i="25"/>
  <c r="X56" i="25"/>
  <c r="W56" i="25"/>
  <c r="AA55" i="25"/>
  <c r="Z55" i="25"/>
  <c r="Y55" i="25"/>
  <c r="X55" i="25"/>
  <c r="W55" i="25"/>
  <c r="AA52" i="25"/>
  <c r="Z52" i="25"/>
  <c r="Y52" i="25"/>
  <c r="X52" i="25"/>
  <c r="W52" i="25"/>
  <c r="AA51" i="25"/>
  <c r="Z51" i="25"/>
  <c r="Y51" i="25"/>
  <c r="X51" i="25"/>
  <c r="W51" i="25"/>
  <c r="AA50" i="25"/>
  <c r="Z50" i="25"/>
  <c r="Y50" i="25"/>
  <c r="X50" i="25"/>
  <c r="W50" i="25"/>
  <c r="AA49" i="25"/>
  <c r="Z49" i="25"/>
  <c r="Y49" i="25"/>
  <c r="X49" i="25"/>
  <c r="W49" i="25"/>
  <c r="AA48" i="25"/>
  <c r="Z48" i="25"/>
  <c r="Y48" i="25"/>
  <c r="X48" i="25"/>
  <c r="W48" i="25"/>
  <c r="AA47" i="25"/>
  <c r="Z47" i="25"/>
  <c r="Y47" i="25"/>
  <c r="X47" i="25"/>
  <c r="W47" i="25"/>
  <c r="AA46" i="25"/>
  <c r="Z46" i="25"/>
  <c r="Y46" i="25"/>
  <c r="X46" i="25"/>
  <c r="W46" i="25"/>
  <c r="AA45" i="25"/>
  <c r="Z45" i="25"/>
  <c r="Y45" i="25"/>
  <c r="X45" i="25"/>
  <c r="W45" i="25"/>
  <c r="AA44" i="25"/>
  <c r="Z44" i="25"/>
  <c r="Y44" i="25"/>
  <c r="X44" i="25"/>
  <c r="W44" i="25"/>
  <c r="AA43" i="25"/>
  <c r="Z43" i="25"/>
  <c r="Y43" i="25"/>
  <c r="X43" i="25"/>
  <c r="W43" i="25"/>
  <c r="AA42" i="25"/>
  <c r="Z42" i="25"/>
  <c r="Y42" i="25"/>
  <c r="X42" i="25"/>
  <c r="W42" i="25"/>
  <c r="AA41" i="25"/>
  <c r="Z41" i="25"/>
  <c r="Y41" i="25"/>
  <c r="X41" i="25"/>
  <c r="W41" i="25"/>
  <c r="X330" i="25"/>
  <c r="X336" i="25"/>
  <c r="Y340" i="25"/>
  <c r="X344" i="25"/>
  <c r="X348" i="25"/>
  <c r="X350" i="25"/>
  <c r="X354" i="25"/>
  <c r="X360" i="25"/>
  <c r="X402" i="25"/>
  <c r="X404" i="25"/>
  <c r="X408" i="25"/>
  <c r="X416" i="25"/>
  <c r="X420" i="25"/>
  <c r="X422" i="25"/>
  <c r="X424" i="25"/>
  <c r="X426" i="25"/>
  <c r="X428" i="25"/>
  <c r="X430" i="25"/>
  <c r="X432" i="25"/>
  <c r="X473" i="25"/>
  <c r="X474" i="25"/>
  <c r="X475" i="25"/>
  <c r="X476" i="25"/>
  <c r="X477" i="25"/>
  <c r="X478" i="25"/>
  <c r="X479" i="25"/>
  <c r="X480" i="25"/>
  <c r="X481" i="25"/>
  <c r="X482" i="25"/>
  <c r="X483" i="25"/>
  <c r="X484" i="25"/>
  <c r="X487" i="25"/>
  <c r="X488" i="25"/>
  <c r="X489" i="25"/>
  <c r="X490" i="25"/>
  <c r="X491" i="25"/>
  <c r="X492" i="25"/>
  <c r="X493" i="25"/>
  <c r="X494" i="25"/>
  <c r="X495" i="25"/>
  <c r="X496" i="25"/>
  <c r="Y497" i="25"/>
  <c r="X499" i="25"/>
  <c r="X500" i="25"/>
  <c r="X501" i="25"/>
  <c r="X502" i="25"/>
  <c r="X503" i="25"/>
  <c r="X504" i="25"/>
  <c r="X257" i="25"/>
  <c r="X258" i="25"/>
  <c r="X259" i="25"/>
  <c r="X260" i="25"/>
  <c r="X261" i="25"/>
  <c r="X262" i="25"/>
  <c r="X263" i="25"/>
  <c r="X264" i="25"/>
  <c r="X265" i="25"/>
  <c r="X266" i="25"/>
  <c r="X267" i="25"/>
  <c r="X268" i="25"/>
  <c r="X271" i="25"/>
  <c r="X272" i="25"/>
  <c r="X273" i="25"/>
  <c r="X274" i="25"/>
  <c r="X275" i="25"/>
  <c r="X276" i="25"/>
  <c r="X277" i="25"/>
  <c r="X278" i="25"/>
  <c r="X280" i="25"/>
  <c r="X281" i="25"/>
  <c r="X282" i="25"/>
  <c r="X283" i="25"/>
  <c r="X284" i="25"/>
  <c r="X285" i="25"/>
  <c r="X286" i="25"/>
  <c r="X287" i="25"/>
  <c r="X288" i="25"/>
  <c r="Y38" i="25"/>
  <c r="Y40" i="25"/>
  <c r="Y33" i="25"/>
  <c r="Z32" i="25"/>
  <c r="Y29" i="25"/>
  <c r="Y31" i="25"/>
  <c r="AA16" i="25"/>
  <c r="AA10" i="25" l="1"/>
  <c r="Z91" i="25"/>
  <c r="Y35" i="25"/>
  <c r="X5" i="25"/>
  <c r="AA8" i="25"/>
  <c r="Z36" i="25"/>
  <c r="Y36" i="25"/>
  <c r="W32" i="25"/>
  <c r="Y169" i="25"/>
  <c r="X28" i="25"/>
  <c r="X39" i="25"/>
  <c r="W11" i="25"/>
  <c r="W28" i="25"/>
  <c r="W39" i="25"/>
  <c r="W230" i="25"/>
  <c r="W222" i="25"/>
  <c r="W251" i="25"/>
  <c r="AA39" i="25"/>
  <c r="Z28" i="25"/>
  <c r="Z39" i="25"/>
  <c r="Y28" i="25"/>
  <c r="Y39" i="25"/>
  <c r="Y286" i="25"/>
  <c r="Y493" i="25"/>
  <c r="Z265" i="25"/>
  <c r="X357" i="25"/>
  <c r="X35" i="25"/>
  <c r="W35" i="25"/>
  <c r="W92" i="25"/>
  <c r="Y98" i="25"/>
  <c r="AA35" i="25"/>
  <c r="AA96" i="25"/>
  <c r="Z35" i="25"/>
  <c r="W454" i="25"/>
  <c r="X180" i="25"/>
  <c r="Y32" i="25"/>
  <c r="X38" i="25"/>
  <c r="Z95" i="25"/>
  <c r="Z100" i="25"/>
  <c r="X168" i="25"/>
  <c r="Y105" i="25"/>
  <c r="AA29" i="25"/>
  <c r="AA40" i="25"/>
  <c r="AA86" i="25"/>
  <c r="AA78" i="25"/>
  <c r="Y159" i="25"/>
  <c r="Y151" i="25"/>
  <c r="W239" i="25"/>
  <c r="W375" i="25"/>
  <c r="W367" i="25"/>
  <c r="Z27" i="25"/>
  <c r="X29" i="25"/>
  <c r="AA32" i="25"/>
  <c r="X40" i="25"/>
  <c r="Z102" i="25"/>
  <c r="Y178" i="25"/>
  <c r="X464" i="25"/>
  <c r="W29" i="25"/>
  <c r="W40" i="25"/>
  <c r="X27" i="25"/>
  <c r="W34" i="25"/>
  <c r="Y24" i="25"/>
  <c r="X32" i="25"/>
  <c r="W107" i="25"/>
  <c r="Z29" i="25"/>
  <c r="Z40" i="25"/>
  <c r="X313" i="25"/>
  <c r="AA102" i="25"/>
  <c r="X101" i="25"/>
  <c r="AA104" i="25"/>
  <c r="X112" i="25"/>
  <c r="Z110" i="25"/>
  <c r="X173" i="25"/>
  <c r="X33" i="25"/>
  <c r="W31" i="25"/>
  <c r="X36" i="25"/>
  <c r="W33" i="25"/>
  <c r="AA38" i="25"/>
  <c r="W84" i="25"/>
  <c r="AA158" i="25"/>
  <c r="W312" i="25"/>
  <c r="Y99" i="25"/>
  <c r="W101" i="25"/>
  <c r="X31" i="25"/>
  <c r="AA30" i="25"/>
  <c r="W36" i="25"/>
  <c r="Z38" i="25"/>
  <c r="W297" i="25"/>
  <c r="Y82" i="25"/>
  <c r="AA170" i="25"/>
  <c r="AA103" i="25"/>
  <c r="X104" i="25"/>
  <c r="Y107" i="25"/>
  <c r="AA105" i="25"/>
  <c r="X174" i="25"/>
  <c r="W176" i="25"/>
  <c r="W179" i="25"/>
  <c r="Y181" i="25"/>
  <c r="Y182" i="25"/>
  <c r="W247" i="25"/>
  <c r="W323" i="25"/>
  <c r="W389" i="25"/>
  <c r="X463" i="25"/>
  <c r="X465" i="25"/>
  <c r="Y30" i="25"/>
  <c r="Z85" i="25"/>
  <c r="AA31" i="25"/>
  <c r="AA33" i="25"/>
  <c r="W38" i="25"/>
  <c r="AA88" i="25"/>
  <c r="AA80" i="25"/>
  <c r="AA94" i="25"/>
  <c r="Z108" i="25"/>
  <c r="W152" i="25"/>
  <c r="Y171" i="25"/>
  <c r="Y173" i="25"/>
  <c r="X176" i="25"/>
  <c r="X178" i="25"/>
  <c r="W182" i="25"/>
  <c r="W245" i="25"/>
  <c r="W256" i="25"/>
  <c r="W319" i="25"/>
  <c r="W321" i="25"/>
  <c r="X392" i="25"/>
  <c r="W461" i="25"/>
  <c r="W472" i="25"/>
  <c r="AA25" i="25"/>
  <c r="Z31" i="25"/>
  <c r="W30" i="25"/>
  <c r="Z33" i="25"/>
  <c r="X37" i="25"/>
  <c r="X87" i="25"/>
  <c r="X79" i="25"/>
  <c r="X93" i="25"/>
  <c r="AA149" i="25"/>
  <c r="W99" i="25"/>
  <c r="X103" i="25"/>
  <c r="Z101" i="25"/>
  <c r="W100" i="25"/>
  <c r="AA106" i="25"/>
  <c r="X105" i="25"/>
  <c r="Z112" i="25"/>
  <c r="W111" i="25"/>
  <c r="Y108" i="25"/>
  <c r="W463" i="25"/>
  <c r="AA152" i="25"/>
  <c r="AA314" i="25"/>
  <c r="AA99" i="25"/>
  <c r="W103" i="25"/>
  <c r="Y101" i="25"/>
  <c r="W104" i="25"/>
  <c r="X108" i="25"/>
  <c r="Z106" i="25"/>
  <c r="W105" i="25"/>
  <c r="Y112" i="25"/>
  <c r="AA110" i="25"/>
  <c r="X319" i="25"/>
  <c r="W163" i="25"/>
  <c r="W171" i="25"/>
  <c r="W174" i="25"/>
  <c r="Y176" i="25"/>
  <c r="X181" i="25"/>
  <c r="X182" i="25"/>
  <c r="W246" i="25"/>
  <c r="W253" i="25"/>
  <c r="W315" i="25"/>
  <c r="W388" i="25"/>
  <c r="W399" i="25"/>
  <c r="W462" i="25"/>
  <c r="W469" i="25"/>
  <c r="W465" i="25"/>
  <c r="AA34" i="25"/>
  <c r="Y106" i="25"/>
  <c r="X25" i="25"/>
  <c r="AA27" i="25"/>
  <c r="Z34" i="25"/>
  <c r="Z104" i="25"/>
  <c r="AA107" i="25"/>
  <c r="X106" i="25"/>
  <c r="AA109" i="25"/>
  <c r="W112" i="25"/>
  <c r="Y110" i="25"/>
  <c r="Z180" i="25"/>
  <c r="AA171" i="25"/>
  <c r="X321" i="25"/>
  <c r="X171" i="25"/>
  <c r="Y180" i="25"/>
  <c r="X184" i="25"/>
  <c r="W255" i="25"/>
  <c r="W318" i="25"/>
  <c r="W325" i="25"/>
  <c r="W396" i="25"/>
  <c r="X460" i="25"/>
  <c r="W322" i="25"/>
  <c r="X396" i="25"/>
  <c r="AA15" i="25"/>
  <c r="AA7" i="25"/>
  <c r="Y34" i="25"/>
  <c r="W37" i="25"/>
  <c r="AA28" i="25"/>
  <c r="AA83" i="25"/>
  <c r="AA97" i="25"/>
  <c r="W109" i="25"/>
  <c r="AA163" i="25"/>
  <c r="AA453" i="25"/>
  <c r="X99" i="25"/>
  <c r="Y102" i="25"/>
  <c r="AA100" i="25"/>
  <c r="Y104" i="25"/>
  <c r="Z107" i="25"/>
  <c r="W106" i="25"/>
  <c r="Z109" i="25"/>
  <c r="AA111" i="25"/>
  <c r="X110" i="25"/>
  <c r="Y245" i="25"/>
  <c r="Y323" i="25"/>
  <c r="Y175" i="25"/>
  <c r="W173" i="25"/>
  <c r="Y177" i="25"/>
  <c r="W184" i="25"/>
  <c r="W248" i="25"/>
  <c r="W254" i="25"/>
  <c r="W317" i="25"/>
  <c r="W328" i="25"/>
  <c r="W395" i="25"/>
  <c r="W464" i="25"/>
  <c r="W470" i="25"/>
  <c r="W392" i="25"/>
  <c r="X6" i="25"/>
  <c r="Z11" i="25"/>
  <c r="Y27" i="25"/>
  <c r="Z30" i="25"/>
  <c r="X34" i="25"/>
  <c r="AA37" i="25"/>
  <c r="Z22" i="25"/>
  <c r="X236" i="25"/>
  <c r="Y109" i="25"/>
  <c r="Z111" i="25"/>
  <c r="W110" i="25"/>
  <c r="W165" i="25"/>
  <c r="X175" i="25"/>
  <c r="AA172" i="25"/>
  <c r="W180" i="25"/>
  <c r="X177" i="25"/>
  <c r="W327" i="25"/>
  <c r="W468" i="25"/>
  <c r="W400" i="25"/>
  <c r="W27" i="25"/>
  <c r="X14" i="25"/>
  <c r="AA13" i="25"/>
  <c r="W5" i="25"/>
  <c r="Z37" i="25"/>
  <c r="AA36" i="25"/>
  <c r="AA79" i="25"/>
  <c r="Z103" i="25"/>
  <c r="W102" i="25"/>
  <c r="Y100" i="25"/>
  <c r="AA108" i="25"/>
  <c r="X107" i="25"/>
  <c r="Z105" i="25"/>
  <c r="X109" i="25"/>
  <c r="Y111" i="25"/>
  <c r="X247" i="25"/>
  <c r="W175" i="25"/>
  <c r="X172" i="25"/>
  <c r="Y179" i="25"/>
  <c r="W177" i="25"/>
  <c r="X183" i="25"/>
  <c r="W320" i="25"/>
  <c r="W326" i="25"/>
  <c r="W391" i="25"/>
  <c r="Y9" i="25"/>
  <c r="Z99" i="25"/>
  <c r="W108" i="25"/>
  <c r="Z12" i="25"/>
  <c r="X30" i="25"/>
  <c r="Y37" i="25"/>
  <c r="AA20" i="25"/>
  <c r="Y228" i="25"/>
  <c r="W384" i="25"/>
  <c r="W444" i="25"/>
  <c r="Y103" i="25"/>
  <c r="AA101" i="25"/>
  <c r="X100" i="25"/>
  <c r="AA112" i="25"/>
  <c r="X111" i="25"/>
  <c r="Y174" i="25"/>
  <c r="W172" i="25"/>
  <c r="X179" i="25"/>
  <c r="W181" i="25"/>
  <c r="W183" i="25"/>
  <c r="W390" i="25"/>
  <c r="W397" i="25"/>
  <c r="W459" i="25"/>
  <c r="W466" i="25"/>
  <c r="X466" i="25"/>
  <c r="Y252" i="25"/>
  <c r="X252" i="25"/>
  <c r="X467" i="25"/>
  <c r="W471" i="25"/>
  <c r="X439" i="25"/>
  <c r="X316" i="25"/>
  <c r="X102" i="25"/>
  <c r="Y172" i="25"/>
  <c r="W178" i="25"/>
  <c r="W243" i="25"/>
  <c r="W21" i="25"/>
  <c r="X156" i="25"/>
  <c r="AA446" i="25"/>
  <c r="Y396" i="25"/>
  <c r="W244" i="25"/>
  <c r="W252" i="25"/>
  <c r="W393" i="25"/>
  <c r="AA379" i="25"/>
  <c r="W77" i="25"/>
  <c r="X250" i="25"/>
  <c r="W324" i="25"/>
  <c r="W394" i="25"/>
  <c r="Z19" i="25"/>
  <c r="Z154" i="25"/>
  <c r="X370" i="25"/>
  <c r="AA179" i="25"/>
  <c r="X249" i="25"/>
  <c r="X395" i="25"/>
  <c r="X388" i="25"/>
  <c r="W387" i="25"/>
  <c r="W455" i="25"/>
  <c r="X447" i="25"/>
  <c r="AA26" i="25"/>
  <c r="W153" i="25"/>
  <c r="AA167" i="25"/>
  <c r="Z383" i="25"/>
  <c r="AA443" i="25"/>
  <c r="AA178" i="25"/>
  <c r="Y294" i="25"/>
  <c r="X322" i="25"/>
  <c r="W467" i="25"/>
  <c r="Y25" i="25"/>
  <c r="AA177" i="25"/>
  <c r="Y313" i="25"/>
  <c r="Y184" i="25"/>
  <c r="W460" i="25"/>
  <c r="AA81" i="25"/>
  <c r="W316" i="25"/>
  <c r="X24" i="25"/>
  <c r="Z381" i="25"/>
  <c r="Z437" i="25"/>
  <c r="X455" i="25"/>
  <c r="Z165" i="25"/>
  <c r="X244" i="25"/>
  <c r="X461" i="25"/>
  <c r="Z179" i="25"/>
  <c r="W249" i="25"/>
  <c r="W398" i="25"/>
  <c r="Y373" i="25"/>
  <c r="Y183" i="25"/>
  <c r="AA23" i="25"/>
  <c r="X239" i="25"/>
  <c r="Y315" i="25"/>
  <c r="X391" i="25"/>
  <c r="W250" i="25"/>
  <c r="AA232" i="25"/>
  <c r="AA224" i="25"/>
  <c r="AA380" i="25"/>
  <c r="AA448" i="25"/>
  <c r="Y460" i="25"/>
  <c r="AA157" i="25"/>
  <c r="AA155" i="25"/>
  <c r="X385" i="25"/>
  <c r="AA451" i="25"/>
  <c r="AA365" i="25"/>
  <c r="AA369" i="25"/>
  <c r="Y283" i="25"/>
  <c r="Y276" i="25"/>
  <c r="AA438" i="25"/>
  <c r="AA160" i="25"/>
  <c r="X300" i="25"/>
  <c r="Y504" i="25"/>
  <c r="Y496" i="25"/>
  <c r="Z483" i="25"/>
  <c r="Y475" i="25"/>
  <c r="Y430" i="25"/>
  <c r="X279" i="25"/>
  <c r="Y260" i="25"/>
  <c r="Y501" i="25"/>
  <c r="Y257" i="25"/>
  <c r="X497" i="25"/>
  <c r="Y499" i="25"/>
  <c r="Y476" i="25"/>
  <c r="Y432" i="25"/>
  <c r="Y424" i="25"/>
  <c r="Y416" i="25"/>
  <c r="Y354" i="25"/>
  <c r="Y344" i="25"/>
  <c r="Y336" i="25"/>
  <c r="X340" i="25"/>
  <c r="Y275" i="25"/>
  <c r="Y258" i="25"/>
  <c r="AA455" i="25"/>
  <c r="Z455" i="25"/>
  <c r="Z177" i="25"/>
  <c r="X427" i="25"/>
  <c r="X248" i="25"/>
  <c r="Z457" i="25"/>
  <c r="X320" i="25"/>
  <c r="X412" i="25"/>
  <c r="X401" i="25"/>
  <c r="AA176" i="25"/>
  <c r="Z176" i="25"/>
  <c r="Y251" i="25"/>
  <c r="X251" i="25"/>
  <c r="AA150" i="25"/>
  <c r="AA238" i="25"/>
  <c r="AA374" i="25"/>
  <c r="AA440" i="25"/>
  <c r="AA175" i="25"/>
  <c r="Z175" i="25"/>
  <c r="Y498" i="25"/>
  <c r="X353" i="25"/>
  <c r="X334" i="25"/>
  <c r="X225" i="25"/>
  <c r="AA174" i="25"/>
  <c r="Z174" i="25"/>
  <c r="Z279" i="25"/>
  <c r="Y279" i="25"/>
  <c r="X417" i="25"/>
  <c r="X339" i="25"/>
  <c r="Y310" i="25"/>
  <c r="AA386" i="25"/>
  <c r="Y452" i="25"/>
  <c r="AA237" i="25"/>
  <c r="X421" i="25"/>
  <c r="Z166" i="25"/>
  <c r="Z376" i="25"/>
  <c r="Z368" i="25"/>
  <c r="Y382" i="25"/>
  <c r="Y442" i="25"/>
  <c r="AA456" i="25"/>
  <c r="X318" i="25"/>
  <c r="Y489" i="25"/>
  <c r="X419" i="25"/>
  <c r="X346" i="25"/>
  <c r="Y331" i="25"/>
  <c r="X315" i="25"/>
  <c r="X331" i="25"/>
  <c r="X425" i="25"/>
  <c r="X418" i="25"/>
  <c r="X394" i="25"/>
  <c r="X358" i="25"/>
  <c r="Y349" i="25"/>
  <c r="X335" i="25"/>
  <c r="X349" i="25"/>
  <c r="X411" i="25"/>
  <c r="X352" i="25"/>
  <c r="X338" i="25"/>
  <c r="X329" i="25"/>
  <c r="AA229" i="25"/>
  <c r="AA371" i="25"/>
  <c r="Z445" i="25"/>
  <c r="AA180" i="25"/>
  <c r="AA173" i="25"/>
  <c r="Z173" i="25"/>
  <c r="Y243" i="25"/>
  <c r="X243" i="25"/>
  <c r="X324" i="25"/>
  <c r="X429" i="25"/>
  <c r="X423" i="25"/>
  <c r="X407" i="25"/>
  <c r="X403" i="25"/>
  <c r="Z367" i="25"/>
  <c r="AA367" i="25"/>
  <c r="X351" i="25"/>
  <c r="X343" i="25"/>
  <c r="Z172" i="25"/>
  <c r="X498" i="25"/>
  <c r="Z242" i="25"/>
  <c r="AA458" i="25"/>
  <c r="Y503" i="25"/>
  <c r="Y495" i="25"/>
  <c r="Y487" i="25"/>
  <c r="X406" i="25"/>
  <c r="Y406" i="25"/>
  <c r="X356" i="25"/>
  <c r="X347" i="25"/>
  <c r="Z178" i="25"/>
  <c r="X246" i="25"/>
  <c r="Y317" i="25"/>
  <c r="X317" i="25"/>
  <c r="X431" i="25"/>
  <c r="X415" i="25"/>
  <c r="X410" i="25"/>
  <c r="X359" i="25"/>
  <c r="X355" i="25"/>
  <c r="X332" i="25"/>
  <c r="Y357" i="25"/>
  <c r="X345" i="25"/>
  <c r="X337" i="25"/>
  <c r="Y333" i="25"/>
  <c r="X333" i="25"/>
  <c r="X393" i="25"/>
  <c r="X409" i="25"/>
  <c r="Y409" i="25"/>
  <c r="X405" i="25"/>
  <c r="Y393" i="25"/>
  <c r="X387" i="25"/>
  <c r="AA93" i="25"/>
  <c r="W235" i="25"/>
  <c r="Y383" i="25"/>
  <c r="Z25" i="25"/>
  <c r="W95" i="25"/>
  <c r="X165" i="25"/>
  <c r="X235" i="25"/>
  <c r="W307" i="25"/>
  <c r="AA383" i="25"/>
  <c r="Y455" i="25"/>
  <c r="X95" i="25"/>
  <c r="X307" i="25"/>
  <c r="W385" i="25"/>
  <c r="AA19" i="25"/>
  <c r="Y95" i="25"/>
  <c r="X167" i="25"/>
  <c r="W309" i="25"/>
  <c r="W379" i="25"/>
  <c r="Y385" i="25"/>
  <c r="X21" i="25"/>
  <c r="X92" i="25"/>
  <c r="AA95" i="25"/>
  <c r="Z167" i="25"/>
  <c r="Y309" i="25"/>
  <c r="W381" i="25"/>
  <c r="Z385" i="25"/>
  <c r="W457" i="25"/>
  <c r="X23" i="25"/>
  <c r="W93" i="25"/>
  <c r="W97" i="25"/>
  <c r="X169" i="25"/>
  <c r="W241" i="25"/>
  <c r="Y381" i="25"/>
  <c r="AA385" i="25"/>
  <c r="X457" i="25"/>
  <c r="Z23" i="25"/>
  <c r="Y93" i="25"/>
  <c r="Z169" i="25"/>
  <c r="X241" i="25"/>
  <c r="W313" i="25"/>
  <c r="AA381" i="25"/>
  <c r="Y451" i="25"/>
  <c r="Y457" i="25"/>
  <c r="Z93" i="25"/>
  <c r="AA169" i="25"/>
  <c r="W383" i="25"/>
  <c r="Z451" i="25"/>
  <c r="AA457" i="25"/>
  <c r="AA14" i="25"/>
  <c r="Y81" i="25"/>
  <c r="Z153" i="25"/>
  <c r="W296" i="25"/>
  <c r="X369" i="25"/>
  <c r="X438" i="25"/>
  <c r="Y16" i="25"/>
  <c r="Z84" i="25"/>
  <c r="X155" i="25"/>
  <c r="Y227" i="25"/>
  <c r="X299" i="25"/>
  <c r="AA370" i="25"/>
  <c r="Y441" i="25"/>
  <c r="X77" i="25"/>
  <c r="X86" i="25"/>
  <c r="AA156" i="25"/>
  <c r="W229" i="25"/>
  <c r="Y372" i="25"/>
  <c r="W443" i="25"/>
  <c r="AA5" i="25"/>
  <c r="Y77" i="25"/>
  <c r="AA87" i="25"/>
  <c r="Y158" i="25"/>
  <c r="Z230" i="25"/>
  <c r="W374" i="25"/>
  <c r="Z444" i="25"/>
  <c r="AA6" i="25"/>
  <c r="Z77" i="25"/>
  <c r="W160" i="25"/>
  <c r="X232" i="25"/>
  <c r="W304" i="25"/>
  <c r="Z375" i="25"/>
  <c r="X446" i="25"/>
  <c r="Y8" i="25"/>
  <c r="AA77" i="25"/>
  <c r="W293" i="25"/>
  <c r="X224" i="25"/>
  <c r="W10" i="25"/>
  <c r="X78" i="25"/>
  <c r="Y150" i="25"/>
  <c r="W366" i="25"/>
  <c r="AA22" i="25"/>
  <c r="W26" i="25"/>
  <c r="Z98" i="25"/>
  <c r="AA166" i="25"/>
  <c r="Y168" i="25"/>
  <c r="W170" i="25"/>
  <c r="Y236" i="25"/>
  <c r="W238" i="25"/>
  <c r="AA242" i="25"/>
  <c r="Z310" i="25"/>
  <c r="X312" i="25"/>
  <c r="X384" i="25"/>
  <c r="Z452" i="25"/>
  <c r="X454" i="25"/>
  <c r="Y21" i="25"/>
  <c r="W23" i="25"/>
  <c r="Z24" i="25"/>
  <c r="X26" i="25"/>
  <c r="Y92" i="25"/>
  <c r="W94" i="25"/>
  <c r="X97" i="25"/>
  <c r="AA98" i="25"/>
  <c r="Y165" i="25"/>
  <c r="W167" i="25"/>
  <c r="Z168" i="25"/>
  <c r="X170" i="25"/>
  <c r="Z236" i="25"/>
  <c r="X238" i="25"/>
  <c r="X309" i="25"/>
  <c r="AA310" i="25"/>
  <c r="W314" i="25"/>
  <c r="X381" i="25"/>
  <c r="Y384" i="25"/>
  <c r="W386" i="25"/>
  <c r="AA452" i="25"/>
  <c r="Y454" i="25"/>
  <c r="W456" i="25"/>
  <c r="W20" i="25"/>
  <c r="AA24" i="25"/>
  <c r="Z92" i="25"/>
  <c r="Y97" i="25"/>
  <c r="AA168" i="25"/>
  <c r="AA236" i="25"/>
  <c r="W240" i="25"/>
  <c r="Z384" i="25"/>
  <c r="X386" i="25"/>
  <c r="W453" i="25"/>
  <c r="Z454" i="25"/>
  <c r="X456" i="25"/>
  <c r="Z21" i="25"/>
  <c r="Y26" i="25"/>
  <c r="X94" i="25"/>
  <c r="W164" i="25"/>
  <c r="Y170" i="25"/>
  <c r="Y238" i="25"/>
  <c r="W311" i="25"/>
  <c r="X314" i="25"/>
  <c r="X20" i="25"/>
  <c r="AA21" i="25"/>
  <c r="Y23" i="25"/>
  <c r="W25" i="25"/>
  <c r="Z26" i="25"/>
  <c r="AA92" i="25"/>
  <c r="Y94" i="25"/>
  <c r="W96" i="25"/>
  <c r="Z97" i="25"/>
  <c r="X164" i="25"/>
  <c r="Y167" i="25"/>
  <c r="W169" i="25"/>
  <c r="Z170" i="25"/>
  <c r="W237" i="25"/>
  <c r="Z238" i="25"/>
  <c r="X240" i="25"/>
  <c r="W308" i="25"/>
  <c r="X311" i="25"/>
  <c r="Y314" i="25"/>
  <c r="W380" i="25"/>
  <c r="X383" i="25"/>
  <c r="Y386" i="25"/>
  <c r="X453" i="25"/>
  <c r="AA454" i="25"/>
  <c r="Y456" i="25"/>
  <c r="W458" i="25"/>
  <c r="Y20" i="25"/>
  <c r="W22" i="25"/>
  <c r="Z94" i="25"/>
  <c r="X96" i="25"/>
  <c r="Y164" i="25"/>
  <c r="W166" i="25"/>
  <c r="X237" i="25"/>
  <c r="W242" i="25"/>
  <c r="X308" i="25"/>
  <c r="Y311" i="25"/>
  <c r="Z314" i="25"/>
  <c r="Z386" i="25"/>
  <c r="Y453" i="25"/>
  <c r="Z456" i="25"/>
  <c r="X458" i="25"/>
  <c r="X380" i="25"/>
  <c r="Z20" i="25"/>
  <c r="X22" i="25"/>
  <c r="Y96" i="25"/>
  <c r="W98" i="25"/>
  <c r="Z164" i="25"/>
  <c r="X166" i="25"/>
  <c r="Y237" i="25"/>
  <c r="X242" i="25"/>
  <c r="W310" i="25"/>
  <c r="Y380" i="25"/>
  <c r="W382" i="25"/>
  <c r="W452" i="25"/>
  <c r="Z453" i="25"/>
  <c r="Y458" i="25"/>
  <c r="Y22" i="25"/>
  <c r="W24" i="25"/>
  <c r="Z96" i="25"/>
  <c r="X98" i="25"/>
  <c r="Y166" i="25"/>
  <c r="W168" i="25"/>
  <c r="W236" i="25"/>
  <c r="Z237" i="25"/>
  <c r="Y242" i="25"/>
  <c r="X310" i="25"/>
  <c r="Z380" i="25"/>
  <c r="X382" i="25"/>
  <c r="X452" i="25"/>
  <c r="Z458" i="25"/>
  <c r="AA91" i="25"/>
  <c r="W451" i="25"/>
  <c r="X451" i="25"/>
  <c r="W91" i="25"/>
  <c r="X163" i="25"/>
  <c r="Y235" i="25"/>
  <c r="Y307" i="25"/>
  <c r="X379" i="25"/>
  <c r="X91" i="25"/>
  <c r="Y163" i="25"/>
  <c r="Y379" i="25"/>
  <c r="Y91" i="25"/>
  <c r="Z163" i="25"/>
  <c r="Z379" i="25"/>
  <c r="W19" i="25"/>
  <c r="X19" i="25"/>
  <c r="Y19" i="25"/>
  <c r="W83" i="25"/>
  <c r="Y6" i="25"/>
  <c r="W8" i="25"/>
  <c r="Z9" i="25"/>
  <c r="X11" i="25"/>
  <c r="AA12" i="25"/>
  <c r="Y14" i="25"/>
  <c r="W16" i="25"/>
  <c r="Y79" i="25"/>
  <c r="W81" i="25"/>
  <c r="Z82" i="25"/>
  <c r="X84" i="25"/>
  <c r="AA85" i="25"/>
  <c r="Y87" i="25"/>
  <c r="W150" i="25"/>
  <c r="Z151" i="25"/>
  <c r="X153" i="25"/>
  <c r="AA154" i="25"/>
  <c r="Y156" i="25"/>
  <c r="W158" i="25"/>
  <c r="X222" i="25"/>
  <c r="Y225" i="25"/>
  <c r="W227" i="25"/>
  <c r="Z228" i="25"/>
  <c r="X230" i="25"/>
  <c r="W294" i="25"/>
  <c r="X297" i="25"/>
  <c r="W302" i="25"/>
  <c r="X367" i="25"/>
  <c r="AA368" i="25"/>
  <c r="Y370" i="25"/>
  <c r="W372" i="25"/>
  <c r="Z373" i="25"/>
  <c r="X375" i="25"/>
  <c r="AA376" i="25"/>
  <c r="Y439" i="25"/>
  <c r="W441" i="25"/>
  <c r="Z442" i="25"/>
  <c r="X444" i="25"/>
  <c r="AA445" i="25"/>
  <c r="Y447" i="25"/>
  <c r="Z6" i="25"/>
  <c r="X8" i="25"/>
  <c r="AA9" i="25"/>
  <c r="Y11" i="25"/>
  <c r="W13" i="25"/>
  <c r="Z14" i="25"/>
  <c r="X16" i="25"/>
  <c r="W78" i="25"/>
  <c r="Z79" i="25"/>
  <c r="X81" i="25"/>
  <c r="AA82" i="25"/>
  <c r="Y84" i="25"/>
  <c r="W86" i="25"/>
  <c r="Z87" i="25"/>
  <c r="X150" i="25"/>
  <c r="AA151" i="25"/>
  <c r="Y153" i="25"/>
  <c r="W155" i="25"/>
  <c r="Z156" i="25"/>
  <c r="X158" i="25"/>
  <c r="Y222" i="25"/>
  <c r="W224" i="25"/>
  <c r="X227" i="25"/>
  <c r="AA228" i="25"/>
  <c r="Y230" i="25"/>
  <c r="W232" i="25"/>
  <c r="X294" i="25"/>
  <c r="W299" i="25"/>
  <c r="X302" i="25"/>
  <c r="Y367" i="25"/>
  <c r="W369" i="25"/>
  <c r="Z370" i="25"/>
  <c r="X372" i="25"/>
  <c r="AA373" i="25"/>
  <c r="Y375" i="25"/>
  <c r="W438" i="25"/>
  <c r="Z439" i="25"/>
  <c r="X441" i="25"/>
  <c r="AA442" i="25"/>
  <c r="Y444" i="25"/>
  <c r="W446" i="25"/>
  <c r="Z447" i="25"/>
  <c r="X13" i="25"/>
  <c r="W7" i="25"/>
  <c r="Z8" i="25"/>
  <c r="X10" i="25"/>
  <c r="AA11" i="25"/>
  <c r="Y13" i="25"/>
  <c r="W15" i="25"/>
  <c r="Z16" i="25"/>
  <c r="Y78" i="25"/>
  <c r="W80" i="25"/>
  <c r="Z81" i="25"/>
  <c r="X83" i="25"/>
  <c r="AA84" i="25"/>
  <c r="Y86" i="25"/>
  <c r="W88" i="25"/>
  <c r="Z150" i="25"/>
  <c r="X152" i="25"/>
  <c r="AA153" i="25"/>
  <c r="Y155" i="25"/>
  <c r="W157" i="25"/>
  <c r="Z158" i="25"/>
  <c r="X160" i="25"/>
  <c r="Y224" i="25"/>
  <c r="W226" i="25"/>
  <c r="X229" i="25"/>
  <c r="AA230" i="25"/>
  <c r="Y232" i="25"/>
  <c r="X296" i="25"/>
  <c r="W301" i="25"/>
  <c r="X304" i="25"/>
  <c r="X366" i="25"/>
  <c r="Y369" i="25"/>
  <c r="W371" i="25"/>
  <c r="X374" i="25"/>
  <c r="AA375" i="25"/>
  <c r="Y438" i="25"/>
  <c r="W440" i="25"/>
  <c r="X443" i="25"/>
  <c r="AA444" i="25"/>
  <c r="Y446" i="25"/>
  <c r="W448" i="25"/>
  <c r="X7" i="25"/>
  <c r="Y10" i="25"/>
  <c r="W12" i="25"/>
  <c r="Z13" i="25"/>
  <c r="X15" i="25"/>
  <c r="Z78" i="25"/>
  <c r="X80" i="25"/>
  <c r="Y83" i="25"/>
  <c r="W85" i="25"/>
  <c r="Z86" i="25"/>
  <c r="X88" i="25"/>
  <c r="Y152" i="25"/>
  <c r="W154" i="25"/>
  <c r="Z155" i="25"/>
  <c r="X157" i="25"/>
  <c r="Y160" i="25"/>
  <c r="W223" i="25"/>
  <c r="Z224" i="25"/>
  <c r="X226" i="25"/>
  <c r="Y229" i="25"/>
  <c r="W231" i="25"/>
  <c r="Z232" i="25"/>
  <c r="Y296" i="25"/>
  <c r="W298" i="25"/>
  <c r="X301" i="25"/>
  <c r="Y304" i="25"/>
  <c r="Y366" i="25"/>
  <c r="W368" i="25"/>
  <c r="Z369" i="25"/>
  <c r="X371" i="25"/>
  <c r="Y374" i="25"/>
  <c r="W376" i="25"/>
  <c r="Z438" i="25"/>
  <c r="X440" i="25"/>
  <c r="Y443" i="25"/>
  <c r="W445" i="25"/>
  <c r="Z446" i="25"/>
  <c r="X448" i="25"/>
  <c r="AA447" i="25"/>
  <c r="Y7" i="25"/>
  <c r="W9" i="25"/>
  <c r="Z10" i="25"/>
  <c r="X12" i="25"/>
  <c r="Y15" i="25"/>
  <c r="Y80" i="25"/>
  <c r="W82" i="25"/>
  <c r="Z83" i="25"/>
  <c r="X85" i="25"/>
  <c r="Y88" i="25"/>
  <c r="W151" i="25"/>
  <c r="Z152" i="25"/>
  <c r="X154" i="25"/>
  <c r="Y157" i="25"/>
  <c r="W159" i="25"/>
  <c r="Z160" i="25"/>
  <c r="X223" i="25"/>
  <c r="W228" i="25"/>
  <c r="Z229" i="25"/>
  <c r="X231" i="25"/>
  <c r="W295" i="25"/>
  <c r="X298" i="25"/>
  <c r="Y301" i="25"/>
  <c r="W303" i="25"/>
  <c r="Z304" i="25"/>
  <c r="Z366" i="25"/>
  <c r="X368" i="25"/>
  <c r="Y371" i="25"/>
  <c r="W373" i="25"/>
  <c r="Z374" i="25"/>
  <c r="X376" i="25"/>
  <c r="Y440" i="25"/>
  <c r="W442" i="25"/>
  <c r="Z443" i="25"/>
  <c r="X445" i="25"/>
  <c r="Y448" i="25"/>
  <c r="AA439" i="25"/>
  <c r="W6" i="25"/>
  <c r="Z7" i="25"/>
  <c r="X9" i="25"/>
  <c r="Y12" i="25"/>
  <c r="W14" i="25"/>
  <c r="Z15" i="25"/>
  <c r="W79" i="25"/>
  <c r="Z80" i="25"/>
  <c r="X82" i="25"/>
  <c r="Y85" i="25"/>
  <c r="W87" i="25"/>
  <c r="Z88" i="25"/>
  <c r="X151" i="25"/>
  <c r="Y154" i="25"/>
  <c r="W156" i="25"/>
  <c r="Z157" i="25"/>
  <c r="X159" i="25"/>
  <c r="W225" i="25"/>
  <c r="X228" i="25"/>
  <c r="Y231" i="25"/>
  <c r="X295" i="25"/>
  <c r="Y298" i="25"/>
  <c r="W300" i="25"/>
  <c r="Z301" i="25"/>
  <c r="Y368" i="25"/>
  <c r="W370" i="25"/>
  <c r="Z371" i="25"/>
  <c r="X373" i="25"/>
  <c r="Y376" i="25"/>
  <c r="W439" i="25"/>
  <c r="Z440" i="25"/>
  <c r="X442" i="25"/>
  <c r="Y445" i="25"/>
  <c r="W447" i="25"/>
  <c r="Z448" i="25"/>
  <c r="W149" i="25"/>
  <c r="W365" i="25"/>
  <c r="AA437" i="25"/>
  <c r="X149" i="25"/>
  <c r="X293" i="25"/>
  <c r="X365" i="25"/>
  <c r="Y149" i="25"/>
  <c r="Z149" i="25"/>
  <c r="Z365" i="25"/>
  <c r="Y365" i="25"/>
  <c r="W221" i="25"/>
  <c r="W437" i="25"/>
  <c r="X221" i="25"/>
  <c r="X437" i="25"/>
  <c r="Y221" i="25"/>
  <c r="Y437" i="25"/>
  <c r="Z5" i="25"/>
  <c r="Y5" i="25"/>
  <c r="AA384" i="25"/>
  <c r="AA366" i="25"/>
  <c r="Z497" i="25"/>
  <c r="Z372" i="25"/>
  <c r="Z382" i="25"/>
  <c r="AA441" i="25"/>
  <c r="Y322" i="25"/>
  <c r="Y316" i="25"/>
  <c r="AA309" i="25"/>
  <c r="Y312" i="25"/>
  <c r="Y308" i="25"/>
  <c r="Z298" i="25"/>
  <c r="Y299" i="25"/>
  <c r="AA304" i="25"/>
  <c r="Z294" i="25"/>
  <c r="Z296" i="25"/>
  <c r="Y295" i="25"/>
  <c r="Y302" i="25"/>
  <c r="Z303" i="25"/>
  <c r="AA300" i="25"/>
  <c r="Y293" i="25"/>
  <c r="Y250" i="25"/>
  <c r="Y249" i="25"/>
  <c r="Y244" i="25"/>
  <c r="Y241" i="25"/>
  <c r="Y240" i="25"/>
  <c r="Z227" i="25"/>
  <c r="Y226" i="25"/>
  <c r="Z231" i="25"/>
  <c r="Y223" i="25"/>
  <c r="Z221" i="25"/>
  <c r="AA165" i="25"/>
  <c r="AA164" i="25"/>
  <c r="Z159" i="25"/>
  <c r="Z311" i="25"/>
  <c r="Z225" i="25"/>
  <c r="Z235" i="25"/>
  <c r="AA301" i="25"/>
  <c r="Z307" i="25"/>
  <c r="Z315" i="25"/>
  <c r="Y239" i="25"/>
  <c r="Y297" i="25"/>
  <c r="Z222" i="25"/>
  <c r="X508" i="25"/>
  <c r="F508" i="25"/>
  <c r="X507" i="25"/>
  <c r="F507" i="25"/>
  <c r="X506" i="25"/>
  <c r="F506" i="25"/>
  <c r="X505" i="25"/>
  <c r="F505" i="25"/>
  <c r="F504" i="25"/>
  <c r="F503" i="25"/>
  <c r="F502" i="25"/>
  <c r="F501" i="25"/>
  <c r="F500" i="25"/>
  <c r="F499" i="25"/>
  <c r="F498" i="25"/>
  <c r="F497" i="25"/>
  <c r="F496" i="25"/>
  <c r="F495" i="25"/>
  <c r="F494" i="25"/>
  <c r="F493" i="25"/>
  <c r="F492" i="25"/>
  <c r="F491" i="25"/>
  <c r="F490" i="25"/>
  <c r="F489" i="25"/>
  <c r="F488" i="25"/>
  <c r="F484" i="25"/>
  <c r="F483" i="25"/>
  <c r="F482" i="25"/>
  <c r="F481" i="25"/>
  <c r="F480" i="25"/>
  <c r="F479" i="25"/>
  <c r="F478" i="25"/>
  <c r="F477" i="25"/>
  <c r="F476" i="25"/>
  <c r="F475" i="25"/>
  <c r="F474" i="25"/>
  <c r="F473" i="25"/>
  <c r="F472" i="25"/>
  <c r="X471" i="25"/>
  <c r="F471" i="25"/>
  <c r="F470" i="25"/>
  <c r="F469" i="25"/>
  <c r="F468" i="25"/>
  <c r="F467" i="25"/>
  <c r="F466" i="25"/>
  <c r="F465" i="25"/>
  <c r="F464" i="25"/>
  <c r="F463" i="25"/>
  <c r="F462" i="25"/>
  <c r="F461" i="25"/>
  <c r="F460" i="25"/>
  <c r="F459" i="25"/>
  <c r="F458" i="25"/>
  <c r="F457" i="25"/>
  <c r="F456" i="25"/>
  <c r="F455" i="25"/>
  <c r="F454" i="25"/>
  <c r="F453" i="25"/>
  <c r="F452" i="25"/>
  <c r="F451" i="25"/>
  <c r="F448" i="25"/>
  <c r="F447" i="25"/>
  <c r="F446" i="25"/>
  <c r="F445" i="25"/>
  <c r="F444" i="25"/>
  <c r="F443" i="25"/>
  <c r="F442" i="25"/>
  <c r="F441" i="25"/>
  <c r="F440" i="25"/>
  <c r="F439" i="25"/>
  <c r="F438" i="25"/>
  <c r="F437" i="25"/>
  <c r="X436" i="25"/>
  <c r="F436" i="25"/>
  <c r="X435" i="25"/>
  <c r="F435" i="25"/>
  <c r="X434" i="25"/>
  <c r="F434" i="25"/>
  <c r="X433" i="25"/>
  <c r="F433" i="25"/>
  <c r="F432" i="25"/>
  <c r="F431" i="25"/>
  <c r="F430" i="25"/>
  <c r="F429" i="25"/>
  <c r="F428" i="25"/>
  <c r="F427" i="25"/>
  <c r="F426" i="25"/>
  <c r="F425" i="25"/>
  <c r="F424" i="25"/>
  <c r="F423" i="25"/>
  <c r="F422" i="25"/>
  <c r="F421" i="25"/>
  <c r="F420" i="25"/>
  <c r="F419" i="25"/>
  <c r="F418" i="25"/>
  <c r="F417" i="25"/>
  <c r="F416" i="25"/>
  <c r="F412" i="25"/>
  <c r="F411" i="25"/>
  <c r="F410" i="25"/>
  <c r="F409" i="25"/>
  <c r="F408" i="25"/>
  <c r="F407" i="25"/>
  <c r="F406" i="25"/>
  <c r="F405" i="25"/>
  <c r="F404" i="25"/>
  <c r="F403" i="25"/>
  <c r="F402" i="25"/>
  <c r="F401" i="25"/>
  <c r="X400" i="25"/>
  <c r="F400" i="25"/>
  <c r="F399" i="25"/>
  <c r="X398" i="25"/>
  <c r="F398" i="25"/>
  <c r="X397" i="25"/>
  <c r="F397" i="25"/>
  <c r="F396" i="25"/>
  <c r="F395" i="25"/>
  <c r="F394" i="25"/>
  <c r="F393" i="25"/>
  <c r="F392" i="25"/>
  <c r="F391" i="25"/>
  <c r="F390" i="25"/>
  <c r="F389" i="25"/>
  <c r="F388" i="25"/>
  <c r="F387" i="25"/>
  <c r="F386" i="25"/>
  <c r="F385" i="25"/>
  <c r="F384" i="25"/>
  <c r="F383" i="25"/>
  <c r="F382" i="25"/>
  <c r="F381" i="25"/>
  <c r="F380" i="25"/>
  <c r="F376" i="25"/>
  <c r="F375" i="25"/>
  <c r="F374" i="25"/>
  <c r="F373" i="25"/>
  <c r="F372" i="25"/>
  <c r="F371" i="25"/>
  <c r="F370" i="25"/>
  <c r="F369" i="25"/>
  <c r="F368" i="25"/>
  <c r="F367" i="25"/>
  <c r="F366" i="25"/>
  <c r="F365" i="25"/>
  <c r="X364" i="25"/>
  <c r="F364" i="25"/>
  <c r="X363" i="25"/>
  <c r="F363" i="25"/>
  <c r="X362" i="25"/>
  <c r="F362" i="25"/>
  <c r="X361" i="25"/>
  <c r="F361" i="25"/>
  <c r="F360" i="25"/>
  <c r="F359" i="25"/>
  <c r="F358" i="25"/>
  <c r="F357" i="25"/>
  <c r="F356" i="25"/>
  <c r="F355" i="25"/>
  <c r="F354" i="25"/>
  <c r="F353" i="25"/>
  <c r="F352" i="25"/>
  <c r="F351" i="25"/>
  <c r="F350" i="25"/>
  <c r="F349" i="25"/>
  <c r="F348" i="25"/>
  <c r="F347" i="25"/>
  <c r="F346" i="25"/>
  <c r="F345" i="25"/>
  <c r="F344" i="25"/>
  <c r="F343" i="25"/>
  <c r="F340" i="25"/>
  <c r="F339" i="25"/>
  <c r="F338" i="25"/>
  <c r="F337" i="25"/>
  <c r="F336" i="25"/>
  <c r="F335" i="25"/>
  <c r="F334" i="25"/>
  <c r="F333" i="25"/>
  <c r="F332" i="25"/>
  <c r="F331" i="25"/>
  <c r="F330" i="25"/>
  <c r="F329" i="25"/>
  <c r="X328" i="25"/>
  <c r="F328" i="25"/>
  <c r="F327" i="25"/>
  <c r="X326" i="25"/>
  <c r="F326" i="25"/>
  <c r="X325" i="25"/>
  <c r="F325" i="25"/>
  <c r="F324" i="25"/>
  <c r="F323" i="25"/>
  <c r="F322" i="25"/>
  <c r="F321" i="25"/>
  <c r="F320" i="25"/>
  <c r="F319" i="25"/>
  <c r="F318" i="25"/>
  <c r="F317" i="25"/>
  <c r="F316" i="25"/>
  <c r="F315" i="25"/>
  <c r="F314" i="25"/>
  <c r="F313" i="25"/>
  <c r="F312" i="25"/>
  <c r="F311" i="25"/>
  <c r="F310" i="25"/>
  <c r="F309" i="25"/>
  <c r="F308" i="25"/>
  <c r="F307" i="25"/>
  <c r="F304" i="25"/>
  <c r="F303" i="25"/>
  <c r="F302" i="25"/>
  <c r="F301" i="25"/>
  <c r="F300" i="25"/>
  <c r="F299" i="25"/>
  <c r="F298" i="25"/>
  <c r="F297" i="25"/>
  <c r="F296" i="25"/>
  <c r="F295" i="25"/>
  <c r="F294" i="25"/>
  <c r="F293" i="25"/>
  <c r="X292" i="25"/>
  <c r="F292" i="25"/>
  <c r="X291" i="25"/>
  <c r="F291" i="25"/>
  <c r="X290" i="25"/>
  <c r="F290" i="25"/>
  <c r="X289" i="25"/>
  <c r="F289" i="25"/>
  <c r="F288" i="25"/>
  <c r="F287" i="25"/>
  <c r="F286" i="25"/>
  <c r="F285" i="25"/>
  <c r="F284" i="25"/>
  <c r="F283" i="25"/>
  <c r="F282" i="25"/>
  <c r="F281" i="25"/>
  <c r="F280" i="25"/>
  <c r="F279" i="25"/>
  <c r="F278" i="25"/>
  <c r="F277" i="25"/>
  <c r="F276" i="25"/>
  <c r="F275" i="25"/>
  <c r="F274" i="25"/>
  <c r="F273" i="25"/>
  <c r="F272" i="25"/>
  <c r="F271" i="25"/>
  <c r="F268" i="25"/>
  <c r="F267" i="25"/>
  <c r="F266" i="25"/>
  <c r="F265" i="25"/>
  <c r="F264" i="25"/>
  <c r="F263" i="25"/>
  <c r="F262" i="25"/>
  <c r="F261" i="25"/>
  <c r="F260" i="25"/>
  <c r="F259" i="25"/>
  <c r="F258" i="25"/>
  <c r="F257" i="25"/>
  <c r="F256" i="25"/>
  <c r="X255" i="25"/>
  <c r="F255" i="25"/>
  <c r="X254" i="25"/>
  <c r="F254" i="25"/>
  <c r="X253" i="25"/>
  <c r="F253" i="25"/>
  <c r="F252" i="25"/>
  <c r="F251" i="25"/>
  <c r="F250" i="25"/>
  <c r="F249" i="25"/>
  <c r="F248" i="25"/>
  <c r="F247" i="25"/>
  <c r="F246" i="25"/>
  <c r="F245" i="25"/>
  <c r="F244" i="25"/>
  <c r="F243" i="25"/>
  <c r="F242" i="25"/>
  <c r="F241" i="25"/>
  <c r="F240" i="25"/>
  <c r="F239" i="25"/>
  <c r="F238" i="25"/>
  <c r="F237" i="25"/>
  <c r="F236" i="25"/>
  <c r="F235" i="25"/>
  <c r="F232" i="25"/>
  <c r="F231" i="25"/>
  <c r="F230" i="25"/>
  <c r="F229" i="25"/>
  <c r="F228" i="25"/>
  <c r="F227" i="25"/>
  <c r="F226" i="25"/>
  <c r="F225" i="25"/>
  <c r="F224" i="25"/>
  <c r="F223" i="25"/>
  <c r="F222" i="25"/>
  <c r="F221" i="25"/>
  <c r="Z220" i="25"/>
  <c r="F220" i="25"/>
  <c r="Z219" i="25"/>
  <c r="F219" i="25"/>
  <c r="Z218" i="25"/>
  <c r="F218" i="25"/>
  <c r="Z217" i="25"/>
  <c r="F217" i="25"/>
  <c r="F216" i="25"/>
  <c r="F215" i="25"/>
  <c r="F214" i="25"/>
  <c r="F213" i="25"/>
  <c r="F212" i="25"/>
  <c r="F211" i="25"/>
  <c r="F210" i="25"/>
  <c r="F209" i="25"/>
  <c r="F208" i="25"/>
  <c r="F207" i="25"/>
  <c r="F206" i="25"/>
  <c r="F205" i="25"/>
  <c r="F204" i="25"/>
  <c r="F203" i="25"/>
  <c r="F202" i="25"/>
  <c r="F201" i="25"/>
  <c r="F200" i="25"/>
  <c r="F199" i="25"/>
  <c r="F196" i="25"/>
  <c r="F195" i="25"/>
  <c r="F194" i="25"/>
  <c r="F193" i="25"/>
  <c r="F192" i="25"/>
  <c r="F191" i="25"/>
  <c r="F190" i="25"/>
  <c r="F189" i="25"/>
  <c r="F188" i="25"/>
  <c r="F187" i="25"/>
  <c r="F186" i="25"/>
  <c r="F185" i="25"/>
  <c r="Z184" i="25"/>
  <c r="F184" i="25"/>
  <c r="Z183" i="25"/>
  <c r="F183" i="25"/>
  <c r="F182" i="25"/>
  <c r="F181" i="25"/>
  <c r="F180" i="25"/>
  <c r="F179" i="25"/>
  <c r="F178" i="25"/>
  <c r="F177" i="25"/>
  <c r="F176" i="25"/>
  <c r="F175" i="25"/>
  <c r="F174" i="25"/>
  <c r="F173" i="25"/>
  <c r="F172" i="25"/>
  <c r="F171" i="25"/>
  <c r="F170" i="25"/>
  <c r="F169" i="25"/>
  <c r="F168" i="25"/>
  <c r="F167" i="25"/>
  <c r="F166" i="25"/>
  <c r="F165" i="25"/>
  <c r="F164" i="25"/>
  <c r="F163" i="25"/>
  <c r="F160" i="25"/>
  <c r="F159" i="25"/>
  <c r="F158" i="25"/>
  <c r="F157" i="25"/>
  <c r="F156" i="25"/>
  <c r="F155" i="25"/>
  <c r="F154" i="25"/>
  <c r="F153" i="25"/>
  <c r="F152" i="25"/>
  <c r="F151" i="25"/>
  <c r="F150" i="25"/>
  <c r="F149" i="25"/>
  <c r="F148" i="25"/>
  <c r="F147" i="25"/>
  <c r="F146" i="25"/>
  <c r="F145" i="25"/>
  <c r="F144" i="25"/>
  <c r="F143" i="25"/>
  <c r="F142" i="25"/>
  <c r="F141" i="25"/>
  <c r="F140" i="25"/>
  <c r="F139" i="25"/>
  <c r="F138" i="25"/>
  <c r="F137" i="25"/>
  <c r="F136" i="25"/>
  <c r="F135" i="25"/>
  <c r="F134" i="25"/>
  <c r="F133" i="25"/>
  <c r="F132" i="25"/>
  <c r="F131" i="25"/>
  <c r="F130" i="25"/>
  <c r="F129" i="25"/>
  <c r="F128" i="25"/>
  <c r="F127" i="25"/>
  <c r="F124" i="25"/>
  <c r="F123" i="25"/>
  <c r="F122" i="25"/>
  <c r="F121" i="25"/>
  <c r="F120" i="25"/>
  <c r="F119" i="25"/>
  <c r="F118" i="25"/>
  <c r="F117" i="25"/>
  <c r="F116" i="25"/>
  <c r="F115" i="25"/>
  <c r="F114" i="25"/>
  <c r="F113" i="25"/>
  <c r="F112" i="25"/>
  <c r="F111" i="25"/>
  <c r="F110" i="25"/>
  <c r="F109" i="25"/>
  <c r="F108" i="25"/>
  <c r="F107" i="25"/>
  <c r="F106" i="25"/>
  <c r="F105" i="25"/>
  <c r="F104" i="25"/>
  <c r="F103" i="25"/>
  <c r="F102" i="25"/>
  <c r="F101" i="25"/>
  <c r="F100" i="25"/>
  <c r="F99" i="25"/>
  <c r="F98" i="25"/>
  <c r="F97" i="25"/>
  <c r="F96" i="25"/>
  <c r="F95" i="25"/>
  <c r="F94" i="25"/>
  <c r="F93" i="25"/>
  <c r="F92" i="25"/>
  <c r="F91" i="25"/>
  <c r="F88" i="25"/>
  <c r="F87" i="25"/>
  <c r="F86" i="25"/>
  <c r="F85" i="25"/>
  <c r="F84" i="25"/>
  <c r="F83" i="25"/>
  <c r="F82" i="25"/>
  <c r="F81" i="25"/>
  <c r="F80" i="25"/>
  <c r="F79" i="25"/>
  <c r="F78" i="25"/>
  <c r="F77" i="25"/>
  <c r="F76" i="25"/>
  <c r="F75" i="25"/>
  <c r="F74" i="25"/>
  <c r="F73" i="25"/>
  <c r="F72" i="25"/>
  <c r="F71" i="25"/>
  <c r="F70" i="25"/>
  <c r="F69" i="25"/>
  <c r="F68" i="25"/>
  <c r="F67" i="25"/>
  <c r="F66" i="25"/>
  <c r="F65" i="25"/>
  <c r="F64" i="25"/>
  <c r="F63" i="25"/>
  <c r="F62" i="25"/>
  <c r="F61" i="25"/>
  <c r="F60" i="25"/>
  <c r="F59" i="25"/>
  <c r="F58" i="25"/>
  <c r="F57" i="25"/>
  <c r="F56" i="25"/>
  <c r="F55" i="25"/>
  <c r="F52" i="25"/>
  <c r="F51" i="25"/>
  <c r="F50" i="25"/>
  <c r="F49" i="25"/>
  <c r="F48" i="25"/>
  <c r="F47" i="25"/>
  <c r="F46" i="25"/>
  <c r="F45" i="25"/>
  <c r="F44" i="25"/>
  <c r="F43" i="25"/>
  <c r="F42" i="25"/>
  <c r="F41" i="25"/>
  <c r="F40" i="25"/>
  <c r="F39" i="25"/>
  <c r="F38" i="25"/>
  <c r="F37" i="25"/>
  <c r="F36" i="25"/>
  <c r="F35" i="25"/>
  <c r="F34" i="25"/>
  <c r="F33" i="25"/>
  <c r="F32" i="25"/>
  <c r="F31" i="25"/>
  <c r="F30" i="25"/>
  <c r="F29" i="25"/>
  <c r="F28" i="25"/>
  <c r="F27" i="25"/>
  <c r="F26" i="25"/>
  <c r="F25" i="25"/>
  <c r="F24" i="25"/>
  <c r="F23" i="25"/>
  <c r="F22" i="25"/>
  <c r="F21" i="25"/>
  <c r="F20" i="25"/>
  <c r="F19" i="25"/>
  <c r="F16" i="25"/>
  <c r="F15" i="25"/>
  <c r="F14" i="25"/>
  <c r="F13" i="25"/>
  <c r="F12" i="25"/>
  <c r="F11" i="25"/>
  <c r="F10" i="25"/>
  <c r="F9" i="25"/>
  <c r="F8" i="25"/>
  <c r="F7" i="25"/>
  <c r="F6" i="25"/>
  <c r="F5" i="25"/>
  <c r="X470" i="25" l="1"/>
  <c r="Z286" i="25"/>
  <c r="X389" i="25"/>
  <c r="Y494" i="25"/>
  <c r="Y321" i="25"/>
  <c r="Z493" i="25"/>
  <c r="Z396" i="25"/>
  <c r="Z496" i="25"/>
  <c r="Z257" i="25"/>
  <c r="Z336" i="25"/>
  <c r="Z489" i="25"/>
  <c r="Y265" i="25"/>
  <c r="Z283" i="25"/>
  <c r="Y360" i="25"/>
  <c r="AA499" i="25"/>
  <c r="Y350" i="25"/>
  <c r="Y402" i="25"/>
  <c r="Z476" i="25"/>
  <c r="Y502" i="25"/>
  <c r="Z430" i="25"/>
  <c r="AA475" i="25"/>
  <c r="Y284" i="25"/>
  <c r="Y281" i="25"/>
  <c r="AA231" i="25"/>
  <c r="Y247" i="25"/>
  <c r="Z171" i="25"/>
  <c r="Y319" i="25"/>
  <c r="X327" i="25"/>
  <c r="X472" i="25"/>
  <c r="Z252" i="25"/>
  <c r="Z181" i="25"/>
  <c r="X399" i="25"/>
  <c r="X469" i="25"/>
  <c r="Z182" i="25"/>
  <c r="Z245" i="25"/>
  <c r="X245" i="25"/>
  <c r="X256" i="25"/>
  <c r="X323" i="25"/>
  <c r="Z317" i="25"/>
  <c r="Y388" i="25"/>
  <c r="Y466" i="25"/>
  <c r="Z251" i="25"/>
  <c r="X462" i="25"/>
  <c r="X468" i="25"/>
  <c r="X390" i="25"/>
  <c r="Y467" i="25"/>
  <c r="X459" i="25"/>
  <c r="Y303" i="25"/>
  <c r="Z243" i="25"/>
  <c r="Z295" i="25"/>
  <c r="Z276" i="25"/>
  <c r="X303" i="25"/>
  <c r="Z460" i="25"/>
  <c r="Y465" i="25"/>
  <c r="Z432" i="25"/>
  <c r="Z487" i="25"/>
  <c r="Z504" i="25"/>
  <c r="Z501" i="25"/>
  <c r="Y483" i="25"/>
  <c r="Z354" i="25"/>
  <c r="AA344" i="25"/>
  <c r="AA286" i="25"/>
  <c r="Z281" i="25"/>
  <c r="AA281" i="25"/>
  <c r="AA258" i="25"/>
  <c r="AA260" i="25"/>
  <c r="Y268" i="25"/>
  <c r="Z408" i="25"/>
  <c r="AA408" i="25"/>
  <c r="AA483" i="25"/>
  <c r="Z275" i="25"/>
  <c r="Y408" i="25"/>
  <c r="Y488" i="25"/>
  <c r="Z416" i="25"/>
  <c r="Z495" i="25"/>
  <c r="Y478" i="25"/>
  <c r="Z424" i="25"/>
  <c r="Z406" i="25"/>
  <c r="Y404" i="25"/>
  <c r="Y348" i="25"/>
  <c r="AA279" i="25"/>
  <c r="Y278" i="25"/>
  <c r="Y389" i="25"/>
  <c r="AA467" i="25"/>
  <c r="Z467" i="25"/>
  <c r="Y271" i="25"/>
  <c r="Z333" i="25"/>
  <c r="AA333" i="25"/>
  <c r="Y355" i="25"/>
  <c r="Y415" i="25"/>
  <c r="Z340" i="25"/>
  <c r="AA340" i="25"/>
  <c r="Y464" i="25"/>
  <c r="Y262" i="25"/>
  <c r="Y392" i="25"/>
  <c r="Y394" i="25"/>
  <c r="Y479" i="25"/>
  <c r="Y274" i="25"/>
  <c r="Y427" i="25"/>
  <c r="Y246" i="25"/>
  <c r="Z393" i="25"/>
  <c r="AA393" i="25"/>
  <c r="Y405" i="25"/>
  <c r="Y477" i="25"/>
  <c r="Y267" i="25"/>
  <c r="Y343" i="25"/>
  <c r="Y429" i="25"/>
  <c r="AA360" i="25"/>
  <c r="Z360" i="25"/>
  <c r="AA349" i="25"/>
  <c r="Z349" i="25"/>
  <c r="Y482" i="25"/>
  <c r="Y282" i="25"/>
  <c r="Y339" i="25"/>
  <c r="Y473" i="25"/>
  <c r="Y401" i="25"/>
  <c r="Y491" i="25"/>
  <c r="Z502" i="25"/>
  <c r="AA502" i="25"/>
  <c r="Y335" i="25"/>
  <c r="Z441" i="25"/>
  <c r="Y337" i="25"/>
  <c r="Y359" i="25"/>
  <c r="Y431" i="25"/>
  <c r="Y347" i="25"/>
  <c r="Y480" i="25"/>
  <c r="Y272" i="25"/>
  <c r="Y403" i="25"/>
  <c r="Y418" i="25"/>
  <c r="Y419" i="25"/>
  <c r="Y287" i="25"/>
  <c r="Y421" i="25"/>
  <c r="Y481" i="25"/>
  <c r="Z284" i="25"/>
  <c r="AA284" i="25"/>
  <c r="Y412" i="25"/>
  <c r="Y248" i="25"/>
  <c r="Y288" i="25"/>
  <c r="Y264" i="25"/>
  <c r="Y353" i="25"/>
  <c r="AA465" i="25"/>
  <c r="Z465" i="25"/>
  <c r="Y259" i="25"/>
  <c r="Y423" i="25"/>
  <c r="Y474" i="25"/>
  <c r="Y320" i="25"/>
  <c r="AA317" i="25"/>
  <c r="Z409" i="25"/>
  <c r="AA409" i="25"/>
  <c r="Y332" i="25"/>
  <c r="Z402" i="25"/>
  <c r="AA402" i="25"/>
  <c r="Y356" i="25"/>
  <c r="Y277" i="25"/>
  <c r="Y351" i="25"/>
  <c r="Y324" i="25"/>
  <c r="Y329" i="25"/>
  <c r="Y411" i="25"/>
  <c r="Y358" i="25"/>
  <c r="AA331" i="25"/>
  <c r="Z331" i="25"/>
  <c r="Y422" i="25"/>
  <c r="Y492" i="25"/>
  <c r="Z494" i="25"/>
  <c r="AA494" i="25"/>
  <c r="Y417" i="25"/>
  <c r="Z498" i="25"/>
  <c r="AA498" i="25"/>
  <c r="Y273" i="25"/>
  <c r="Y426" i="25"/>
  <c r="Y352" i="25"/>
  <c r="Y330" i="25"/>
  <c r="AA313" i="25"/>
  <c r="Z313" i="25"/>
  <c r="AA265" i="25"/>
  <c r="Y300" i="25"/>
  <c r="Y345" i="25"/>
  <c r="Y490" i="25"/>
  <c r="Y280" i="25"/>
  <c r="Y407" i="25"/>
  <c r="Z309" i="25"/>
  <c r="Y338" i="25"/>
  <c r="Y346" i="25"/>
  <c r="Y428" i="25"/>
  <c r="Y500" i="25"/>
  <c r="Y318" i="25"/>
  <c r="Y263" i="25"/>
  <c r="Y334" i="25"/>
  <c r="Y484" i="25"/>
  <c r="Z357" i="25"/>
  <c r="AA357" i="25"/>
  <c r="Z323" i="25"/>
  <c r="Z503" i="25"/>
  <c r="Z300" i="25"/>
  <c r="Y387" i="25"/>
  <c r="Z350" i="25"/>
  <c r="AA350" i="25"/>
  <c r="Y410" i="25"/>
  <c r="Y285" i="25"/>
  <c r="Y420" i="25"/>
  <c r="Y425" i="25"/>
  <c r="Y463" i="25"/>
  <c r="Y261" i="25"/>
  <c r="Y266" i="25"/>
  <c r="AA372" i="25"/>
  <c r="AA382" i="25"/>
  <c r="AA497" i="25"/>
  <c r="AA406" i="25"/>
  <c r="Z321" i="25"/>
  <c r="AA227" i="25"/>
  <c r="Z322" i="25"/>
  <c r="Z316" i="25"/>
  <c r="Z308" i="25"/>
  <c r="Z312" i="25"/>
  <c r="AA294" i="25"/>
  <c r="Z302" i="25"/>
  <c r="Z299" i="25"/>
  <c r="AA296" i="25"/>
  <c r="AA298" i="25"/>
  <c r="Z293" i="25"/>
  <c r="Z249" i="25"/>
  <c r="Z250" i="25"/>
  <c r="Z244" i="25"/>
  <c r="Z240" i="25"/>
  <c r="Z241" i="25"/>
  <c r="Z226" i="25"/>
  <c r="Z223" i="25"/>
  <c r="AA221" i="25"/>
  <c r="AA159" i="25"/>
  <c r="AA235" i="25"/>
  <c r="AA222" i="25"/>
  <c r="AA315" i="25"/>
  <c r="AA307" i="25"/>
  <c r="Z297" i="25"/>
  <c r="AA225" i="25"/>
  <c r="AA303" i="25"/>
  <c r="Z239" i="25"/>
  <c r="AA311" i="25"/>
  <c r="Y505" i="25"/>
  <c r="Y292" i="25"/>
  <c r="Y362" i="25"/>
  <c r="AA184" i="25"/>
  <c r="Y254" i="25"/>
  <c r="Y435" i="25"/>
  <c r="AA218" i="25"/>
  <c r="Y325" i="25"/>
  <c r="Y469" i="25"/>
  <c r="AA182" i="25"/>
  <c r="AA219" i="25"/>
  <c r="Y256" i="25"/>
  <c r="Y289" i="25"/>
  <c r="Y326" i="25"/>
  <c r="Y363" i="25"/>
  <c r="Y400" i="25"/>
  <c r="Y433" i="25"/>
  <c r="Y470" i="25"/>
  <c r="Y507" i="25"/>
  <c r="AA181" i="25"/>
  <c r="AA217" i="25"/>
  <c r="Y328" i="25"/>
  <c r="Y361" i="25"/>
  <c r="Y472" i="25"/>
  <c r="Y255" i="25"/>
  <c r="Y436" i="25"/>
  <c r="Y506" i="25"/>
  <c r="AA183" i="25"/>
  <c r="AA220" i="25"/>
  <c r="Y253" i="25"/>
  <c r="Y290" i="25"/>
  <c r="Y327" i="25"/>
  <c r="Y364" i="25"/>
  <c r="Y397" i="25"/>
  <c r="Y434" i="25"/>
  <c r="Y471" i="25"/>
  <c r="Y508" i="25"/>
  <c r="Y291" i="25"/>
  <c r="Y398" i="25"/>
  <c r="Y399" i="25"/>
  <c r="AA501" i="25" l="1"/>
  <c r="Z319" i="25"/>
  <c r="Z344" i="25"/>
  <c r="AA336" i="25"/>
  <c r="Y391" i="25"/>
  <c r="AA476" i="25"/>
  <c r="AA245" i="25"/>
  <c r="AA251" i="25"/>
  <c r="AA354" i="25"/>
  <c r="AA493" i="25"/>
  <c r="AA432" i="25"/>
  <c r="AA424" i="25"/>
  <c r="AA487" i="25"/>
  <c r="AA252" i="25"/>
  <c r="AA257" i="25"/>
  <c r="Z260" i="25"/>
  <c r="Z388" i="25"/>
  <c r="AA295" i="25"/>
  <c r="Z247" i="25"/>
  <c r="AA496" i="25"/>
  <c r="AA396" i="25"/>
  <c r="AA489" i="25"/>
  <c r="AA495" i="25"/>
  <c r="AA430" i="25"/>
  <c r="Z499" i="25"/>
  <c r="Z475" i="25"/>
  <c r="AA276" i="25"/>
  <c r="AA283" i="25"/>
  <c r="Y395" i="25"/>
  <c r="AA466" i="25"/>
  <c r="AA243" i="25"/>
  <c r="AA460" i="25"/>
  <c r="Y461" i="25"/>
  <c r="Y390" i="25"/>
  <c r="Y468" i="25"/>
  <c r="Y459" i="25"/>
  <c r="Y462" i="25"/>
  <c r="Z258" i="25"/>
  <c r="AA323" i="25"/>
  <c r="AA416" i="25"/>
  <c r="AA504" i="25"/>
  <c r="AA275" i="25"/>
  <c r="Z268" i="25"/>
  <c r="AA268" i="25"/>
  <c r="Z488" i="25"/>
  <c r="AA488" i="25"/>
  <c r="Z478" i="25"/>
  <c r="AA478" i="25"/>
  <c r="Z404" i="25"/>
  <c r="AA404" i="25"/>
  <c r="AA348" i="25"/>
  <c r="Z348" i="25"/>
  <c r="Z278" i="25"/>
  <c r="AA278" i="25"/>
  <c r="Z407" i="25"/>
  <c r="AA407" i="25"/>
  <c r="Z351" i="25"/>
  <c r="AA351" i="25"/>
  <c r="Z411" i="25"/>
  <c r="AA411" i="25"/>
  <c r="Z277" i="25"/>
  <c r="AA277" i="25"/>
  <c r="Z474" i="25"/>
  <c r="AA474" i="25"/>
  <c r="AA491" i="25"/>
  <c r="Z491" i="25"/>
  <c r="Z429" i="25"/>
  <c r="AA429" i="25"/>
  <c r="AA246" i="25"/>
  <c r="Z246" i="25"/>
  <c r="Z415" i="25"/>
  <c r="AA415" i="25"/>
  <c r="Z266" i="25"/>
  <c r="AA266" i="25"/>
  <c r="Z500" i="25"/>
  <c r="AA500" i="25"/>
  <c r="Z261" i="25"/>
  <c r="AA261" i="25"/>
  <c r="Z285" i="25"/>
  <c r="AA285" i="25"/>
  <c r="Z426" i="25"/>
  <c r="AA426" i="25"/>
  <c r="Z423" i="25"/>
  <c r="AA423" i="25"/>
  <c r="Z419" i="25"/>
  <c r="AA419" i="25"/>
  <c r="Z403" i="25"/>
  <c r="AA403" i="25"/>
  <c r="Z347" i="25"/>
  <c r="AA347" i="25"/>
  <c r="Z282" i="25"/>
  <c r="AA282" i="25"/>
  <c r="AA274" i="25"/>
  <c r="Z274" i="25"/>
  <c r="Z262" i="25"/>
  <c r="AA262" i="25"/>
  <c r="AA338" i="25"/>
  <c r="Z338" i="25"/>
  <c r="AA352" i="25"/>
  <c r="Z352" i="25"/>
  <c r="Z417" i="25"/>
  <c r="AA417" i="25"/>
  <c r="Z329" i="25"/>
  <c r="AA329" i="25"/>
  <c r="AA264" i="25"/>
  <c r="Z264" i="25"/>
  <c r="AA503" i="25"/>
  <c r="Z410" i="25"/>
  <c r="AA410" i="25"/>
  <c r="Z428" i="25"/>
  <c r="AA428" i="25"/>
  <c r="Z345" i="25"/>
  <c r="AA345" i="25"/>
  <c r="AA461" i="25"/>
  <c r="Z461" i="25"/>
  <c r="AA324" i="25"/>
  <c r="Z324" i="25"/>
  <c r="Z288" i="25"/>
  <c r="AA288" i="25"/>
  <c r="Z272" i="25"/>
  <c r="AA272" i="25"/>
  <c r="Z335" i="25"/>
  <c r="AA335" i="25"/>
  <c r="Z401" i="25"/>
  <c r="AA401" i="25"/>
  <c r="Z343" i="25"/>
  <c r="AA343" i="25"/>
  <c r="Z405" i="25"/>
  <c r="AA405" i="25"/>
  <c r="Z427" i="25"/>
  <c r="AA427" i="25"/>
  <c r="Z271" i="25"/>
  <c r="AA271" i="25"/>
  <c r="Z425" i="25"/>
  <c r="AA425" i="25"/>
  <c r="Z387" i="25"/>
  <c r="AA387" i="25"/>
  <c r="AA334" i="25"/>
  <c r="Z334" i="25"/>
  <c r="AA318" i="25"/>
  <c r="Z318" i="25"/>
  <c r="Z490" i="25"/>
  <c r="AA490" i="25"/>
  <c r="Z422" i="25"/>
  <c r="AA422" i="25"/>
  <c r="AA356" i="25"/>
  <c r="Z356" i="25"/>
  <c r="Z353" i="25"/>
  <c r="AA353" i="25"/>
  <c r="Z412" i="25"/>
  <c r="AA412" i="25"/>
  <c r="Z287" i="25"/>
  <c r="AA287" i="25"/>
  <c r="Z359" i="25"/>
  <c r="AA359" i="25"/>
  <c r="AA463" i="25"/>
  <c r="Z463" i="25"/>
  <c r="Z263" i="25"/>
  <c r="AA263" i="25"/>
  <c r="Z330" i="25"/>
  <c r="AA330" i="25"/>
  <c r="Z358" i="25"/>
  <c r="AA358" i="25"/>
  <c r="Z332" i="25"/>
  <c r="AA332" i="25"/>
  <c r="Z259" i="25"/>
  <c r="AA259" i="25"/>
  <c r="AA481" i="25"/>
  <c r="Z481" i="25"/>
  <c r="Z431" i="25"/>
  <c r="AA431" i="25"/>
  <c r="Z337" i="25"/>
  <c r="AA337" i="25"/>
  <c r="Z482" i="25"/>
  <c r="AA482" i="25"/>
  <c r="Z464" i="25"/>
  <c r="AA464" i="25"/>
  <c r="AA473" i="25"/>
  <c r="Z473" i="25"/>
  <c r="Z267" i="25"/>
  <c r="AA267" i="25"/>
  <c r="Z395" i="25"/>
  <c r="AA395" i="25"/>
  <c r="AA479" i="25"/>
  <c r="Z479" i="25"/>
  <c r="Z355" i="25"/>
  <c r="AA355" i="25"/>
  <c r="Z273" i="25"/>
  <c r="AA273" i="25"/>
  <c r="Z480" i="25"/>
  <c r="AA480" i="25"/>
  <c r="Z280" i="25"/>
  <c r="AA280" i="25"/>
  <c r="Z492" i="25"/>
  <c r="AA492" i="25"/>
  <c r="AA320" i="25"/>
  <c r="Z320" i="25"/>
  <c r="AA248" i="25"/>
  <c r="Z248" i="25"/>
  <c r="Z421" i="25"/>
  <c r="AA421" i="25"/>
  <c r="Z418" i="25"/>
  <c r="AA418" i="25"/>
  <c r="Z391" i="25"/>
  <c r="AA391" i="25"/>
  <c r="Z394" i="25"/>
  <c r="AA394" i="25"/>
  <c r="Z339" i="25"/>
  <c r="AA339" i="25"/>
  <c r="AA477" i="25"/>
  <c r="Z477" i="25"/>
  <c r="Z389" i="25"/>
  <c r="AA389" i="25"/>
  <c r="Z420" i="25"/>
  <c r="AA420" i="25"/>
  <c r="Z484" i="25"/>
  <c r="AA484" i="25"/>
  <c r="Z346" i="25"/>
  <c r="AA346" i="25"/>
  <c r="Z392" i="25"/>
  <c r="AA392" i="25"/>
  <c r="AA321" i="25"/>
  <c r="AA322" i="25"/>
  <c r="AA316" i="25"/>
  <c r="AA308" i="25"/>
  <c r="AA312" i="25"/>
  <c r="AA299" i="25"/>
  <c r="AA302" i="25"/>
  <c r="AA293" i="25"/>
  <c r="AA249" i="25"/>
  <c r="AA250" i="25"/>
  <c r="AA244" i="25"/>
  <c r="AA241" i="25"/>
  <c r="AA240" i="25"/>
  <c r="AA223" i="25"/>
  <c r="AA226" i="25"/>
  <c r="AA239" i="25"/>
  <c r="AA297" i="25"/>
  <c r="Z291" i="25"/>
  <c r="Z434" i="25"/>
  <c r="Z290" i="25"/>
  <c r="Z506" i="25"/>
  <c r="Z361" i="25"/>
  <c r="Z507" i="25"/>
  <c r="Z363" i="25"/>
  <c r="Z470" i="25"/>
  <c r="Z326" i="25"/>
  <c r="Z435" i="25"/>
  <c r="Z362" i="25"/>
  <c r="Z399" i="25"/>
  <c r="Z508" i="25"/>
  <c r="Z364" i="25"/>
  <c r="Z255" i="25"/>
  <c r="Z433" i="25"/>
  <c r="Z289" i="25"/>
  <c r="Z469" i="25"/>
  <c r="Z254" i="25"/>
  <c r="Z292" i="25"/>
  <c r="Z397" i="25"/>
  <c r="Z253" i="25"/>
  <c r="Z436" i="25"/>
  <c r="Z328" i="25"/>
  <c r="Z398" i="25"/>
  <c r="Z471" i="25"/>
  <c r="Z327" i="25"/>
  <c r="Z472" i="25"/>
  <c r="Z400" i="25"/>
  <c r="Z256" i="25"/>
  <c r="Z325" i="25"/>
  <c r="Z505" i="25"/>
  <c r="AA319" i="25" l="1"/>
  <c r="AA388" i="25"/>
  <c r="AA247" i="25"/>
  <c r="Z466" i="25"/>
  <c r="Z462" i="25"/>
  <c r="AA462" i="25"/>
  <c r="Z468" i="25"/>
  <c r="AA468" i="25"/>
  <c r="Z459" i="25"/>
  <c r="AA459" i="25"/>
  <c r="Z390" i="25"/>
  <c r="AA390" i="25"/>
  <c r="AA505" i="25"/>
  <c r="AA290" i="25"/>
  <c r="AA397" i="25"/>
  <c r="AA507" i="25"/>
  <c r="AA325" i="25"/>
  <c r="AA472" i="25"/>
  <c r="AA328" i="25"/>
  <c r="AA469" i="25"/>
  <c r="AA255" i="25"/>
  <c r="AA362" i="25"/>
  <c r="AA434" i="25"/>
  <c r="AA398" i="25"/>
  <c r="AA256" i="25"/>
  <c r="AA327" i="25"/>
  <c r="AA436" i="25"/>
  <c r="AA289" i="25"/>
  <c r="AA364" i="25"/>
  <c r="AA435" i="25"/>
  <c r="AA361" i="25"/>
  <c r="AA291" i="25"/>
  <c r="AA470" i="25"/>
  <c r="AA254" i="25"/>
  <c r="AA399" i="25"/>
  <c r="AA400" i="25"/>
  <c r="AA471" i="25"/>
  <c r="AA253" i="25"/>
  <c r="AA292" i="25"/>
  <c r="AA433" i="25"/>
  <c r="AA508" i="25"/>
  <c r="AA326" i="25"/>
  <c r="AA363" i="25"/>
  <c r="AA506" i="25"/>
</calcChain>
</file>

<file path=xl/sharedStrings.xml><?xml version="1.0" encoding="utf-8"?>
<sst xmlns="http://schemas.openxmlformats.org/spreadsheetml/2006/main" count="1801" uniqueCount="119">
  <si>
    <t>Zona 1</t>
  </si>
  <si>
    <t>Zona 2</t>
  </si>
  <si>
    <t>Zona 3</t>
  </si>
  <si>
    <t>Zona 4</t>
  </si>
  <si>
    <t>Zona 5</t>
  </si>
  <si>
    <t>Zona 6</t>
  </si>
  <si>
    <t>Zona 7</t>
  </si>
  <si>
    <t>Zona 8</t>
  </si>
  <si>
    <t>Zona 9</t>
  </si>
  <si>
    <t>Zona 10</t>
  </si>
  <si>
    <t>Zona 11</t>
  </si>
  <si>
    <t>Zona 12</t>
  </si>
  <si>
    <t>PREMIUM</t>
  </si>
  <si>
    <t>FP</t>
  </si>
  <si>
    <t>HP</t>
  </si>
  <si>
    <t>QP</t>
  </si>
  <si>
    <t>MQP</t>
  </si>
  <si>
    <t>Nombre Cliente</t>
  </si>
  <si>
    <t>ECONOMY</t>
  </si>
  <si>
    <t>Otros datos</t>
  </si>
  <si>
    <t>Fecha</t>
  </si>
  <si>
    <t>ELP</t>
  </si>
  <si>
    <t>Super Euro Light</t>
  </si>
  <si>
    <t>SEL</t>
  </si>
  <si>
    <t>Mini Quarter</t>
  </si>
  <si>
    <t>Quarter</t>
  </si>
  <si>
    <t>Half</t>
  </si>
  <si>
    <t>Extra Light</t>
  </si>
  <si>
    <t>Full</t>
  </si>
  <si>
    <t>Zona</t>
  </si>
  <si>
    <t>BU</t>
  </si>
  <si>
    <t>Servicio</t>
  </si>
  <si>
    <t>Vlookup</t>
  </si>
  <si>
    <t>IMR</t>
  </si>
  <si>
    <t>EQP</t>
  </si>
  <si>
    <t>Costes recogida arrastre</t>
  </si>
  <si>
    <t>Madrid</t>
  </si>
  <si>
    <t>Zaragoza</t>
  </si>
  <si>
    <t>Barcelona</t>
  </si>
  <si>
    <t>Levante</t>
  </si>
  <si>
    <t>Margen</t>
  </si>
  <si>
    <t>Total</t>
  </si>
  <si>
    <t>Hub fees</t>
  </si>
  <si>
    <t>Palletways Iberia</t>
  </si>
  <si>
    <t>Fecha validez</t>
  </si>
  <si>
    <t>Hub</t>
  </si>
  <si>
    <t>Hub-Sur</t>
  </si>
  <si>
    <t xml:space="preserve">Hub </t>
  </si>
  <si>
    <t>Hub Fee</t>
  </si>
  <si>
    <t>PcLevy</t>
  </si>
  <si>
    <t>Marketing</t>
  </si>
  <si>
    <t>Seguro</t>
  </si>
  <si>
    <t>Pallets Grandes</t>
  </si>
  <si>
    <t>Pequeños</t>
  </si>
  <si>
    <t>Zona 13</t>
  </si>
  <si>
    <t>Zona 14</t>
  </si>
  <si>
    <t>Zona 16</t>
  </si>
  <si>
    <t>Zona 17</t>
  </si>
  <si>
    <t>Zona 1:</t>
  </si>
  <si>
    <t>Jaén</t>
  </si>
  <si>
    <t>Zona 2:</t>
  </si>
  <si>
    <t>Zona 3:</t>
  </si>
  <si>
    <t>Zona 4:</t>
  </si>
  <si>
    <t>Zona 5:</t>
  </si>
  <si>
    <t>Zona 6:</t>
  </si>
  <si>
    <t>Zona 7:</t>
  </si>
  <si>
    <t>19460-19463, 19492, 19495</t>
  </si>
  <si>
    <t>Zona 8:</t>
  </si>
  <si>
    <t xml:space="preserve">Ávila, Burgos, La Rioja, Segovia, Valladolid, Zaragoza </t>
  </si>
  <si>
    <t>Zona 9:</t>
  </si>
  <si>
    <t>Zona 10:</t>
  </si>
  <si>
    <t>Zona 11:</t>
  </si>
  <si>
    <t>Zona 12:</t>
  </si>
  <si>
    <t xml:space="preserve"> 25598, 25599, 25720-25721, 25724, 25726, 25727</t>
  </si>
  <si>
    <t>CP Portugal: Del 10 al 19; 26 al 29; 3860-3899; 40 al 45</t>
  </si>
  <si>
    <t>Zona 13:</t>
  </si>
  <si>
    <t>Portugal (Resto de CP)</t>
  </si>
  <si>
    <t>Zona 14:</t>
  </si>
  <si>
    <t>Mallorca</t>
  </si>
  <si>
    <t>Ibiza y Menorca</t>
  </si>
  <si>
    <t>Zona 16:</t>
  </si>
  <si>
    <t>Gran Canaria, Tenerife</t>
  </si>
  <si>
    <t>Zona 17:</t>
  </si>
  <si>
    <t>Fuerteventura, Lanzarote, La Palma, La Gomera, El Hierro</t>
  </si>
  <si>
    <t>Portugal: Madeira</t>
  </si>
  <si>
    <t>Portugal: São Miguel</t>
  </si>
  <si>
    <t xml:space="preserve">24720-24750, 24764-24767, 24793-24795 </t>
  </si>
  <si>
    <t>33787-33819, 33827, 33830-33839, 33842-33860, 33866-33885, 33887-33891</t>
  </si>
  <si>
    <t>Euro Pallet</t>
  </si>
  <si>
    <t>EP</t>
  </si>
  <si>
    <t xml:space="preserve">Badajoz,  Cuenca,  Huelva,  Murcia </t>
  </si>
  <si>
    <t>Alicante, Cádiz</t>
  </si>
  <si>
    <t xml:space="preserve">24398-24479, 24480-24488, 24490-24498, 24500-24569, 24700-24710, 24714-24718, </t>
  </si>
  <si>
    <t>Barcelona, Cáceres,</t>
  </si>
  <si>
    <t>Barcelona, Cáceres</t>
  </si>
  <si>
    <r>
      <t xml:space="preserve">Soria, Toledo, </t>
    </r>
    <r>
      <rPr>
        <sz val="10"/>
        <color rgb="FFFF0000"/>
        <rFont val="Arial"/>
        <family val="2"/>
      </rPr>
      <t>Guadalajara</t>
    </r>
    <r>
      <rPr>
        <sz val="10"/>
        <color theme="1"/>
        <rFont val="Arial"/>
        <family val="2"/>
      </rPr>
      <t>: 19261, 1928-19287, 19300-19392, 19432-19445</t>
    </r>
  </si>
  <si>
    <r>
      <rPr>
        <sz val="10"/>
        <color rgb="FFFF0000"/>
        <rFont val="Arial"/>
        <family val="2"/>
      </rPr>
      <t>Guadalajara</t>
    </r>
    <r>
      <rPr>
        <sz val="10"/>
        <color theme="1"/>
        <rFont val="Arial"/>
        <family val="2"/>
      </rPr>
      <t>, Madrid</t>
    </r>
  </si>
  <si>
    <r>
      <rPr>
        <sz val="10"/>
        <color rgb="FFFF0000"/>
        <rFont val="Arial"/>
        <family val="2"/>
      </rPr>
      <t>León</t>
    </r>
    <r>
      <rPr>
        <sz val="10"/>
        <color theme="1"/>
        <rFont val="Arial"/>
        <family val="2"/>
      </rPr>
      <t>: 24100-24114, 24139-24140, 24300-24319, 24360-24380, 24384-24390, 24394-24395</t>
    </r>
  </si>
  <si>
    <r>
      <t xml:space="preserve">Álava, Huesca, </t>
    </r>
    <r>
      <rPr>
        <sz val="10"/>
        <color rgb="FFFF0000"/>
        <rFont val="Arial"/>
        <family val="2"/>
      </rPr>
      <t>León</t>
    </r>
    <r>
      <rPr>
        <sz val="10"/>
        <color theme="1"/>
        <rFont val="Arial"/>
        <family val="2"/>
      </rPr>
      <t xml:space="preserve"> excepto CP Zona 11, Navarra, Palencia, Salamanca, Teruel, Valencia, Zamora</t>
    </r>
  </si>
  <si>
    <r>
      <rPr>
        <sz val="10"/>
        <color rgb="FFFF0000"/>
        <rFont val="Arial"/>
        <family val="2"/>
      </rPr>
      <t>Asturias</t>
    </r>
    <r>
      <rPr>
        <sz val="10"/>
        <color theme="1"/>
        <rFont val="Arial"/>
        <family val="2"/>
      </rPr>
      <t>: 33700-33720, 33724-33736, 33740-33747,33749-33750, 33757-33785,</t>
    </r>
  </si>
  <si>
    <r>
      <rPr>
        <sz val="10"/>
        <color rgb="FFFF0000"/>
        <rFont val="Arial"/>
        <family val="2"/>
      </rPr>
      <t>Asturias</t>
    </r>
    <r>
      <rPr>
        <sz val="10"/>
        <color theme="1"/>
        <rFont val="Arial"/>
        <family val="2"/>
      </rPr>
      <t>, Cantabria, Tarragona, Vizcaya</t>
    </r>
  </si>
  <si>
    <r>
      <t xml:space="preserve">Coruña, Gerona, Lugo, Orense, Pontevedra, </t>
    </r>
    <r>
      <rPr>
        <sz val="10"/>
        <color rgb="FFFF0000"/>
        <rFont val="Arial"/>
        <family val="2"/>
      </rPr>
      <t>Lérida</t>
    </r>
    <r>
      <rPr>
        <sz val="10"/>
        <color theme="1"/>
        <rFont val="Arial"/>
        <family val="2"/>
      </rPr>
      <t>: 25530, 25537-25540, 25548-25551,</t>
    </r>
  </si>
  <si>
    <r>
      <t xml:space="preserve">Castellón, Guipuzcoa , </t>
    </r>
    <r>
      <rPr>
        <sz val="10"/>
        <color rgb="FFFF0000"/>
        <rFont val="Arial"/>
        <family val="2"/>
      </rPr>
      <t>Lérida</t>
    </r>
  </si>
  <si>
    <t>Córdoba</t>
  </si>
  <si>
    <r>
      <t>Castellón, Guipuzcoa ,</t>
    </r>
    <r>
      <rPr>
        <sz val="10"/>
        <color rgb="FFFF0000"/>
        <rFont val="Arial"/>
        <family val="2"/>
      </rPr>
      <t xml:space="preserve"> Lérida</t>
    </r>
  </si>
  <si>
    <t>Granada capital y area metropolitana</t>
  </si>
  <si>
    <t>Resto provincia</t>
  </si>
  <si>
    <t xml:space="preserve">Albacete, Almería, Ciudad Real, Sevilla, Málaga </t>
  </si>
  <si>
    <t>Zona 21</t>
  </si>
  <si>
    <t>Zona 22</t>
  </si>
  <si>
    <t>Zona 23</t>
  </si>
  <si>
    <t>Zona 24</t>
  </si>
  <si>
    <t>Zona 25</t>
  </si>
  <si>
    <t>Zona 21:</t>
  </si>
  <si>
    <t>Zona 22:</t>
  </si>
  <si>
    <t>Zona 23:</t>
  </si>
  <si>
    <t>Zona 24:</t>
  </si>
  <si>
    <t>Zona 25:</t>
  </si>
  <si>
    <t>PLANTASUR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</si>
</sst>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"/>
    <numFmt numFmtId="165" formatCode="#,###\ &quot;Pallet&quot;"/>
    <numFmt numFmtId="166" formatCode="_-* #,##0.0\ &quot;€&quot;_-;\-* #,##0.0\ &quot;€&quot;_-;_-* &quot;-&quot;??\ &quot;€&quot;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2"/>
      <color rgb="FF002060"/>
      <name val="Verdana"/>
      <family val="2"/>
    </font>
    <font>
      <b/>
      <sz val="12"/>
      <color theme="1"/>
      <name val="Cambria"/>
      <family val="1"/>
      <scheme val="major"/>
    </font>
    <font>
      <sz val="11"/>
      <color theme="1"/>
      <name val="Arial"/>
      <family val="2"/>
    </font>
    <font>
      <b/>
      <sz val="22"/>
      <color theme="1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sz val="9"/>
      <color theme="1"/>
      <name val="Arial"/>
      <family val="2"/>
    </font>
    <font>
      <sz val="11"/>
      <color theme="0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indexed="9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i/>
      <sz val="11"/>
      <color theme="0"/>
      <name val="Arial"/>
      <family val="2"/>
    </font>
    <font>
      <sz val="11"/>
      <name val="Arial"/>
      <family val="2"/>
    </font>
    <font>
      <b/>
      <sz val="9"/>
      <color theme="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sz val="10.5"/>
      <color theme="0"/>
      <name val="Arial"/>
      <family val="2"/>
    </font>
    <font>
      <b/>
      <i/>
      <sz val="10"/>
      <color rgb="FF002060"/>
      <name val="Arial"/>
      <family val="2"/>
    </font>
    <font>
      <sz val="9"/>
      <color theme="0"/>
      <name val="Arial"/>
      <family val="2"/>
    </font>
    <font>
      <sz val="11"/>
      <color theme="1"/>
      <name val="Verdana"/>
      <family val="2"/>
    </font>
    <font>
      <sz val="10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B8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7D7FF"/>
        <bgColor indexed="64"/>
      </patternFill>
    </fill>
    <fill>
      <patternFill patternType="solid">
        <fgColor rgb="FF00A84C"/>
        <bgColor indexed="64"/>
      </patternFill>
    </fill>
    <fill>
      <patternFill patternType="solid">
        <fgColor rgb="FFF7F7F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double">
        <color theme="0"/>
      </bottom>
      <diagonal/>
    </border>
    <border>
      <left/>
      <right/>
      <top style="double">
        <color theme="0"/>
      </top>
      <bottom style="double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hair">
        <color rgb="FF002B82"/>
      </bottom>
      <diagonal/>
    </border>
  </borders>
  <cellStyleXfs count="7">
    <xf numFmtId="0" fontId="0" fillId="0" borderId="0"/>
    <xf numFmtId="0" fontId="1" fillId="0" borderId="0"/>
    <xf numFmtId="44" fontId="2" fillId="0" borderId="0" applyFont="0" applyFill="0" applyBorder="0" applyAlignment="0" applyProtection="0"/>
    <xf numFmtId="0" fontId="3" fillId="0" borderId="0"/>
    <xf numFmtId="0" fontId="4" fillId="0" borderId="0"/>
    <xf numFmtId="0" fontId="1" fillId="0" borderId="0"/>
    <xf numFmtId="44" fontId="1" fillId="0" borderId="0" applyFont="0" applyFill="0" applyBorder="0" applyAlignment="0" applyProtection="0"/>
  </cellStyleXfs>
  <cellXfs count="89">
    <xf numFmtId="0" fontId="0" fillId="0" borderId="0" xfId="0"/>
    <xf numFmtId="0" fontId="5" fillId="0" borderId="0" xfId="0" applyFont="1"/>
    <xf numFmtId="0" fontId="6" fillId="3" borderId="3" xfId="0" applyFont="1" applyFill="1" applyBorder="1"/>
    <xf numFmtId="0" fontId="7" fillId="0" borderId="0" xfId="5" applyFont="1" applyAlignment="1">
      <alignment horizontal="center"/>
    </xf>
    <xf numFmtId="0" fontId="7" fillId="0" borderId="0" xfId="5" applyFont="1"/>
    <xf numFmtId="0" fontId="22" fillId="5" borderId="2" xfId="5" applyFont="1" applyFill="1" applyBorder="1" applyAlignment="1">
      <alignment horizontal="center"/>
    </xf>
    <xf numFmtId="0" fontId="23" fillId="5" borderId="10" xfId="5" applyFont="1" applyFill="1" applyBorder="1" applyAlignment="1">
      <alignment horizontal="center"/>
    </xf>
    <xf numFmtId="0" fontId="23" fillId="5" borderId="11" xfId="5" applyFont="1" applyFill="1" applyBorder="1" applyAlignment="1">
      <alignment horizontal="center"/>
    </xf>
    <xf numFmtId="0" fontId="7" fillId="8" borderId="12" xfId="5" applyFont="1" applyFill="1" applyBorder="1" applyAlignment="1">
      <alignment horizontal="center"/>
    </xf>
    <xf numFmtId="0" fontId="7" fillId="7" borderId="1" xfId="5" applyFont="1" applyFill="1" applyBorder="1" applyAlignment="1">
      <alignment horizontal="center"/>
    </xf>
    <xf numFmtId="0" fontId="7" fillId="0" borderId="1" xfId="5" applyFont="1" applyBorder="1" applyAlignment="1">
      <alignment horizontal="center"/>
    </xf>
    <xf numFmtId="2" fontId="7" fillId="10" borderId="1" xfId="5" applyNumberFormat="1" applyFont="1" applyFill="1" applyBorder="1" applyAlignment="1">
      <alignment horizontal="center"/>
    </xf>
    <xf numFmtId="2" fontId="7" fillId="11" borderId="1" xfId="5" applyNumberFormat="1" applyFont="1" applyFill="1" applyBorder="1" applyAlignment="1">
      <alignment horizontal="center"/>
    </xf>
    <xf numFmtId="2" fontId="7" fillId="2" borderId="1" xfId="5" applyNumberFormat="1" applyFont="1" applyFill="1" applyBorder="1" applyAlignment="1">
      <alignment horizontal="center"/>
    </xf>
    <xf numFmtId="2" fontId="7" fillId="12" borderId="1" xfId="5" applyNumberFormat="1" applyFont="1" applyFill="1" applyBorder="1" applyAlignment="1">
      <alignment horizontal="center"/>
    </xf>
    <xf numFmtId="164" fontId="7" fillId="0" borderId="0" xfId="5" applyNumberFormat="1" applyFont="1"/>
    <xf numFmtId="0" fontId="6" fillId="13" borderId="3" xfId="0" applyFont="1" applyFill="1" applyBorder="1" applyAlignment="1">
      <alignment horizontal="center"/>
    </xf>
    <xf numFmtId="14" fontId="6" fillId="13" borderId="3" xfId="0" applyNumberFormat="1" applyFont="1" applyFill="1" applyBorder="1" applyAlignment="1">
      <alignment horizontal="center"/>
    </xf>
    <xf numFmtId="2" fontId="7" fillId="9" borderId="1" xfId="5" applyNumberFormat="1" applyFont="1" applyFill="1" applyBorder="1" applyAlignment="1">
      <alignment horizontal="center"/>
    </xf>
    <xf numFmtId="0" fontId="7" fillId="14" borderId="1" xfId="5" applyFont="1" applyFill="1" applyBorder="1" applyAlignment="1">
      <alignment horizontal="center"/>
    </xf>
    <xf numFmtId="0" fontId="24" fillId="13" borderId="1" xfId="5" applyFont="1" applyFill="1" applyBorder="1" applyAlignment="1">
      <alignment horizontal="center"/>
    </xf>
    <xf numFmtId="0" fontId="7" fillId="0" borderId="0" xfId="5" applyFont="1" applyAlignment="1">
      <alignment horizontal="center" vertical="center"/>
    </xf>
    <xf numFmtId="2" fontId="7" fillId="7" borderId="1" xfId="5" applyNumberFormat="1" applyFont="1" applyFill="1" applyBorder="1" applyAlignment="1">
      <alignment horizontal="center"/>
    </xf>
    <xf numFmtId="0" fontId="23" fillId="5" borderId="14" xfId="5" applyFont="1" applyFill="1" applyBorder="1" applyAlignment="1">
      <alignment horizontal="center"/>
    </xf>
    <xf numFmtId="0" fontId="22" fillId="5" borderId="1" xfId="5" applyFont="1" applyFill="1" applyBorder="1" applyAlignment="1">
      <alignment horizontal="center"/>
    </xf>
    <xf numFmtId="0" fontId="7" fillId="0" borderId="1" xfId="5" applyFont="1" applyBorder="1"/>
    <xf numFmtId="0" fontId="7" fillId="7" borderId="1" xfId="5" applyFont="1" applyFill="1" applyBorder="1"/>
    <xf numFmtId="2" fontId="7" fillId="0" borderId="1" xfId="5" applyNumberFormat="1" applyFont="1" applyBorder="1"/>
    <xf numFmtId="166" fontId="7" fillId="2" borderId="1" xfId="6" applyNumberFormat="1" applyFont="1" applyFill="1" applyBorder="1"/>
    <xf numFmtId="164" fontId="7" fillId="2" borderId="1" xfId="5" applyNumberFormat="1" applyFont="1" applyFill="1" applyBorder="1"/>
    <xf numFmtId="0" fontId="7" fillId="0" borderId="0" xfId="0" applyFont="1" applyProtection="1">
      <protection locked="0"/>
    </xf>
    <xf numFmtId="0" fontId="7" fillId="4" borderId="0" xfId="0" applyFont="1" applyFill="1" applyProtection="1">
      <protection locked="0"/>
    </xf>
    <xf numFmtId="0" fontId="8" fillId="4" borderId="0" xfId="0" applyFont="1" applyFill="1" applyAlignment="1" applyProtection="1">
      <alignment horizontal="center"/>
      <protection locked="0"/>
    </xf>
    <xf numFmtId="0" fontId="10" fillId="4" borderId="0" xfId="0" applyFont="1" applyFill="1" applyProtection="1">
      <protection locked="0"/>
    </xf>
    <xf numFmtId="14" fontId="9" fillId="4" borderId="7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7" xfId="0" applyFont="1" applyFill="1" applyBorder="1" applyProtection="1">
      <protection locked="0"/>
    </xf>
    <xf numFmtId="0" fontId="15" fillId="4" borderId="0" xfId="0" applyFont="1" applyFill="1" applyProtection="1">
      <protection locked="0"/>
    </xf>
    <xf numFmtId="0" fontId="11" fillId="4" borderId="0" xfId="0" applyFont="1" applyFill="1" applyProtection="1">
      <protection locked="0"/>
    </xf>
    <xf numFmtId="0" fontId="11" fillId="0" borderId="0" xfId="0" applyFont="1" applyProtection="1">
      <protection locked="0"/>
    </xf>
    <xf numFmtId="164" fontId="7" fillId="4" borderId="0" xfId="1" applyNumberFormat="1" applyFont="1" applyFill="1" applyAlignment="1" applyProtection="1">
      <alignment horizontal="center" vertical="center"/>
      <protection locked="0"/>
    </xf>
    <xf numFmtId="164" fontId="27" fillId="6" borderId="3" xfId="1" applyNumberFormat="1" applyFont="1" applyFill="1" applyBorder="1" applyAlignment="1" applyProtection="1">
      <alignment horizontal="center" vertical="center" wrapText="1"/>
      <protection locked="0"/>
    </xf>
    <xf numFmtId="0" fontId="27" fillId="6" borderId="3" xfId="1" applyFont="1" applyFill="1" applyBorder="1" applyAlignment="1" applyProtection="1">
      <alignment horizontal="center" vertical="center" wrapText="1"/>
      <protection locked="0"/>
    </xf>
    <xf numFmtId="0" fontId="13" fillId="4" borderId="0" xfId="1" applyFont="1" applyFill="1" applyAlignment="1" applyProtection="1">
      <alignment horizontal="center" vertical="center"/>
      <protection locked="0"/>
    </xf>
    <xf numFmtId="165" fontId="26" fillId="3" borderId="3" xfId="1" applyNumberFormat="1" applyFont="1" applyFill="1" applyBorder="1" applyAlignment="1" applyProtection="1">
      <alignment horizontal="center" vertical="center"/>
      <protection locked="0"/>
    </xf>
    <xf numFmtId="0" fontId="25" fillId="6" borderId="3" xfId="1" applyFont="1" applyFill="1" applyBorder="1" applyAlignment="1" applyProtection="1">
      <alignment horizontal="center" vertical="center"/>
      <protection locked="0"/>
    </xf>
    <xf numFmtId="0" fontId="28" fillId="6" borderId="3" xfId="1" applyFont="1" applyFill="1" applyBorder="1" applyAlignment="1" applyProtection="1">
      <alignment horizontal="center" vertical="center"/>
      <protection locked="0"/>
    </xf>
    <xf numFmtId="164" fontId="14" fillId="4" borderId="0" xfId="2" applyNumberFormat="1" applyFont="1" applyFill="1" applyBorder="1" applyAlignment="1" applyProtection="1">
      <alignment horizontal="center" vertical="center"/>
      <protection locked="0"/>
    </xf>
    <xf numFmtId="0" fontId="12" fillId="4" borderId="0" xfId="0" applyFont="1" applyFill="1" applyProtection="1">
      <protection locked="0"/>
    </xf>
    <xf numFmtId="0" fontId="16" fillId="4" borderId="0" xfId="0" applyFont="1" applyFill="1" applyProtection="1">
      <protection locked="0"/>
    </xf>
    <xf numFmtId="0" fontId="17" fillId="4" borderId="0" xfId="0" applyFont="1" applyFill="1" applyProtection="1">
      <protection locked="0"/>
    </xf>
    <xf numFmtId="0" fontId="11" fillId="4" borderId="0" xfId="0" applyFont="1" applyFill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7" fillId="0" borderId="0" xfId="0" applyFont="1" applyAlignment="1" applyProtection="1">
      <alignment horizontal="left"/>
      <protection locked="0"/>
    </xf>
    <xf numFmtId="0" fontId="25" fillId="15" borderId="3" xfId="1" applyFont="1" applyFill="1" applyBorder="1" applyAlignment="1" applyProtection="1">
      <alignment horizontal="center" vertical="center"/>
      <protection locked="0"/>
    </xf>
    <xf numFmtId="0" fontId="29" fillId="16" borderId="15" xfId="0" applyFont="1" applyFill="1" applyBorder="1"/>
    <xf numFmtId="0" fontId="17" fillId="16" borderId="15" xfId="0" applyFont="1" applyFill="1" applyBorder="1"/>
    <xf numFmtId="0" fontId="17" fillId="16" borderId="15" xfId="0" applyFont="1" applyFill="1" applyBorder="1" applyAlignment="1">
      <alignment horizontal="left"/>
    </xf>
    <xf numFmtId="0" fontId="29" fillId="16" borderId="0" xfId="0" applyFont="1" applyFill="1"/>
    <xf numFmtId="0" fontId="17" fillId="16" borderId="0" xfId="0" applyFont="1" applyFill="1"/>
    <xf numFmtId="0" fontId="17" fillId="16" borderId="0" xfId="0" applyFont="1" applyFill="1" applyAlignment="1">
      <alignment horizontal="left"/>
    </xf>
    <xf numFmtId="0" fontId="12" fillId="0" borderId="0" xfId="0" applyFont="1" applyProtection="1">
      <protection locked="0"/>
    </xf>
    <xf numFmtId="0" fontId="30" fillId="4" borderId="0" xfId="0" applyFont="1" applyFill="1" applyProtection="1">
      <protection locked="0"/>
    </xf>
    <xf numFmtId="0" fontId="30" fillId="4" borderId="0" xfId="0" applyFont="1" applyFill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0" fontId="30" fillId="0" borderId="0" xfId="0" applyFont="1" applyProtection="1">
      <protection locked="0"/>
    </xf>
    <xf numFmtId="0" fontId="17" fillId="16" borderId="0" xfId="0" applyFont="1" applyFill="1" applyProtection="1">
      <protection locked="0"/>
    </xf>
    <xf numFmtId="0" fontId="31" fillId="4" borderId="0" xfId="0" applyFont="1" applyFill="1" applyProtection="1">
      <protection locked="0"/>
    </xf>
    <xf numFmtId="0" fontId="31" fillId="0" borderId="0" xfId="0" applyFont="1" applyProtection="1">
      <protection locked="0"/>
    </xf>
    <xf numFmtId="2" fontId="7" fillId="0" borderId="0" xfId="0" applyNumberFormat="1" applyFont="1" applyProtection="1">
      <protection locked="0"/>
    </xf>
    <xf numFmtId="2" fontId="7" fillId="0" borderId="3" xfId="0" applyNumberFormat="1" applyFont="1" applyBorder="1" applyProtection="1">
      <protection locked="0"/>
    </xf>
    <xf numFmtId="14" fontId="9" fillId="4" borderId="7" xfId="0" applyNumberFormat="1" applyFont="1" applyFill="1" applyBorder="1" applyAlignment="1" applyProtection="1">
      <alignment horizontal="center"/>
      <protection locked="0"/>
    </xf>
    <xf numFmtId="0" fontId="9" fillId="4" borderId="7" xfId="0" applyFont="1" applyFill="1" applyBorder="1" applyAlignment="1" applyProtection="1">
      <alignment horizontal="center"/>
      <protection locked="0"/>
    </xf>
    <xf numFmtId="0" fontId="8" fillId="4" borderId="0" xfId="0" applyFont="1" applyFill="1" applyAlignment="1" applyProtection="1">
      <alignment horizontal="center"/>
      <protection locked="0"/>
    </xf>
    <xf numFmtId="0" fontId="9" fillId="4" borderId="0" xfId="0" applyFont="1" applyFill="1" applyAlignment="1" applyProtection="1">
      <alignment horizontal="center"/>
      <protection locked="0"/>
    </xf>
    <xf numFmtId="14" fontId="9" fillId="4" borderId="0" xfId="0" applyNumberFormat="1" applyFont="1" applyFill="1" applyAlignment="1" applyProtection="1">
      <alignment horizontal="center"/>
      <protection locked="0"/>
    </xf>
    <xf numFmtId="0" fontId="21" fillId="6" borderId="13" xfId="1" applyFont="1" applyFill="1" applyBorder="1" applyAlignment="1" applyProtection="1">
      <alignment horizontal="left" vertical="center"/>
      <protection locked="0"/>
    </xf>
    <xf numFmtId="0" fontId="21" fillId="6" borderId="0" xfId="1" applyFont="1" applyFill="1" applyAlignment="1" applyProtection="1">
      <alignment horizontal="left" vertical="center"/>
      <protection locked="0"/>
    </xf>
    <xf numFmtId="164" fontId="27" fillId="6" borderId="4" xfId="1" applyNumberFormat="1" applyFont="1" applyFill="1" applyBorder="1" applyAlignment="1" applyProtection="1">
      <alignment horizontal="center" vertical="center" wrapText="1"/>
      <protection locked="0"/>
    </xf>
    <xf numFmtId="164" fontId="27" fillId="6" borderId="5" xfId="1" applyNumberFormat="1" applyFont="1" applyFill="1" applyBorder="1" applyAlignment="1" applyProtection="1">
      <alignment horizontal="center" vertical="center" wrapText="1"/>
      <protection locked="0"/>
    </xf>
    <xf numFmtId="164" fontId="27" fillId="6" borderId="6" xfId="1" applyNumberFormat="1" applyFont="1" applyFill="1" applyBorder="1" applyAlignment="1" applyProtection="1">
      <alignment horizontal="center" vertical="center" wrapText="1"/>
      <protection locked="0"/>
    </xf>
    <xf numFmtId="164" fontId="27" fillId="6" borderId="3" xfId="1" applyNumberFormat="1" applyFont="1" applyFill="1" applyBorder="1" applyAlignment="1" applyProtection="1">
      <alignment horizontal="center" vertical="center"/>
      <protection locked="0"/>
    </xf>
    <xf numFmtId="164" fontId="20" fillId="6" borderId="3" xfId="1" applyNumberFormat="1" applyFont="1" applyFill="1" applyBorder="1" applyAlignment="1" applyProtection="1">
      <alignment horizontal="center" wrapText="1"/>
      <protection locked="0"/>
    </xf>
    <xf numFmtId="14" fontId="20" fillId="6" borderId="3" xfId="1" applyNumberFormat="1" applyFont="1" applyFill="1" applyBorder="1" applyAlignment="1" applyProtection="1">
      <alignment horizontal="center" wrapText="1"/>
      <protection locked="0"/>
    </xf>
    <xf numFmtId="0" fontId="10" fillId="6" borderId="0" xfId="0" applyFont="1" applyFill="1" applyAlignment="1" applyProtection="1">
      <alignment horizontal="center"/>
      <protection locked="0"/>
    </xf>
    <xf numFmtId="14" fontId="19" fillId="3" borderId="8" xfId="0" applyNumberFormat="1" applyFont="1" applyFill="1" applyBorder="1" applyAlignment="1" applyProtection="1">
      <alignment horizontal="center"/>
      <protection locked="0"/>
    </xf>
    <xf numFmtId="0" fontId="19" fillId="3" borderId="8" xfId="0" applyFont="1" applyFill="1" applyBorder="1" applyAlignment="1" applyProtection="1">
      <alignment horizontal="center"/>
      <protection locked="0"/>
    </xf>
    <xf numFmtId="0" fontId="22" fillId="5" borderId="2" xfId="5" applyFont="1" applyFill="1" applyBorder="1" applyAlignment="1">
      <alignment horizontal="center"/>
    </xf>
    <xf numFmtId="0" fontId="22" fillId="5" borderId="9" xfId="5" applyFont="1" applyFill="1" applyBorder="1" applyAlignment="1">
      <alignment horizontal="center"/>
    </xf>
  </cellXfs>
  <cellStyles count="7">
    <cellStyle name="Euro 2" xfId="2" xr:uid="{00000000-0005-0000-0000-000000000000}"/>
    <cellStyle name="Moneda" xfId="6" builtinId="4"/>
    <cellStyle name="Normal" xfId="0" builtinId="0"/>
    <cellStyle name="Normal 2" xfId="1" xr:uid="{00000000-0005-0000-0000-000003000000}"/>
    <cellStyle name="Normal 2 2" xfId="4" xr:uid="{00000000-0005-0000-0000-000004000000}"/>
    <cellStyle name="Normal 3" xfId="3" xr:uid="{00000000-0005-0000-0000-000005000000}"/>
    <cellStyle name="Normal 3 2 2" xfId="5" xr:uid="{DE7C20AF-9ACF-45F0-8985-2919D6299A27}"/>
  </cellStyles>
  <dxfs count="0"/>
  <tableStyles count="0" defaultTableStyle="TableStyleMedium2" defaultPivotStyle="PivotStyleMedium9"/>
  <colors>
    <mruColors>
      <color rgb="FF002B82"/>
      <color rgb="FFFFFFCC"/>
      <color rgb="FF99FDA3"/>
      <color rgb="FF0045D0"/>
      <color rgb="FF8CE1FC"/>
      <color rgb="FFBFCEF7"/>
      <color rgb="FF00A84C"/>
      <color rgb="FFF7F7F7"/>
      <color rgb="FF97D7FF"/>
      <color rgb="FF451C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png"/><Relationship Id="rId2" Type="http://schemas.openxmlformats.org/officeDocument/2006/relationships/image" Target="../media/image2.emf"/><Relationship Id="rId1" Type="http://schemas.openxmlformats.org/officeDocument/2006/relationships/image" Target="../media/image1.jp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png"/><Relationship Id="rId2" Type="http://schemas.openxmlformats.org/officeDocument/2006/relationships/image" Target="../media/image2.emf"/><Relationship Id="rId1" Type="http://schemas.openxmlformats.org/officeDocument/2006/relationships/image" Target="../media/image1.jp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380999</xdr:colOff>
      <xdr:row>2</xdr:row>
      <xdr:rowOff>47625</xdr:rowOff>
    </xdr:from>
    <xdr:to>
      <xdr:col>4</xdr:col>
      <xdr:colOff>409574</xdr:colOff>
      <xdr:row>10</xdr:row>
      <xdr:rowOff>152400</xdr:rowOff>
    </xdr:to>
    <xdr:sp macro="" textlink="">
      <xdr:nvSpPr>
        <xdr:cNvPr id="2" name="Rounded Rectangl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42999" y="685800"/>
          <a:ext cx="4238625" cy="1676400"/>
        </a:xfrm>
        <a:prstGeom prst="roundRect">
          <a:avLst>
            <a:gd name="adj" fmla="val 6679"/>
          </a:avLst>
        </a:prstGeom>
        <a:noFill/>
        <a:ln>
          <a:solidFill>
            <a:srgbClr val="002B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730252</xdr:colOff>
      <xdr:row>5</xdr:row>
      <xdr:rowOff>63500</xdr:rowOff>
    </xdr:from>
    <xdr:to>
      <xdr:col>6</xdr:col>
      <xdr:colOff>381000</xdr:colOff>
      <xdr:row>6</xdr:row>
      <xdr:rowOff>116418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261D1FC-912E-4803-B0BB-79E5C3644A56}"/>
            </a:ext>
          </a:extLst>
        </xdr:cNvPr>
        <xdr:cNvSpPr txBox="1"/>
      </xdr:nvSpPr>
      <xdr:spPr>
        <a:xfrm>
          <a:off x="1301752" y="1225550"/>
          <a:ext cx="2451098" cy="319618"/>
        </a:xfrm>
        <a:prstGeom prst="rect">
          <a:avLst/>
        </a:prstGeom>
        <a:noFill/>
        <a:ln w="9525" cmpd="sng">
          <a:solidFill>
            <a:schemeClr val="bg1"/>
          </a:solidFill>
          <a:prstDash val="sysDash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400" b="1">
              <a:solidFill>
                <a:srgbClr val="002060"/>
              </a:solidFill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Tarifa Servicio</a:t>
          </a:r>
          <a:r>
            <a:rPr lang="es-ES" sz="1400" b="1" baseline="0">
              <a:solidFill>
                <a:srgbClr val="002060"/>
              </a:solidFill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 Premium</a:t>
          </a:r>
          <a:endParaRPr lang="es-ES" sz="1400" b="1">
            <a:solidFill>
              <a:srgbClr val="002060"/>
            </a:solidFill>
            <a:latin typeface="Arial" panose="020B0604020202020204" pitchFamily="34" charset="0"/>
            <a:ea typeface="Verdan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222252</xdr:colOff>
      <xdr:row>3</xdr:row>
      <xdr:rowOff>116415</xdr:rowOff>
    </xdr:from>
    <xdr:to>
      <xdr:col>15</xdr:col>
      <xdr:colOff>444500</xdr:colOff>
      <xdr:row>5</xdr:row>
      <xdr:rowOff>201083</xdr:rowOff>
    </xdr:to>
    <xdr:grpSp>
      <xdr:nvGrpSpPr>
        <xdr:cNvPr id="3" name="Gruppo 174">
          <a:extLst>
            <a:ext uri="{FF2B5EF4-FFF2-40B4-BE49-F238E27FC236}">
              <a16:creationId xmlns:a16="http://schemas.microsoft.com/office/drawing/2014/main" id="{5DF6B341-ECF2-42D6-9CE6-8E864F6C68C3}"/>
            </a:ext>
          </a:extLst>
        </xdr:cNvPr>
        <xdr:cNvGrpSpPr/>
      </xdr:nvGrpSpPr>
      <xdr:grpSpPr>
        <a:xfrm>
          <a:off x="10049811" y="732739"/>
          <a:ext cx="995454" cy="633756"/>
          <a:chOff x="2751138" y="5951538"/>
          <a:chExt cx="1349375" cy="815975"/>
        </a:xfrm>
        <a:solidFill>
          <a:srgbClr val="75BF42"/>
        </a:solidFill>
      </xdr:grpSpPr>
      <xdr:sp macro="" textlink="">
        <xdr:nvSpPr>
          <xdr:cNvPr id="4" name="Freeform 50">
            <a:extLst>
              <a:ext uri="{FF2B5EF4-FFF2-40B4-BE49-F238E27FC236}">
                <a16:creationId xmlns:a16="http://schemas.microsoft.com/office/drawing/2014/main" id="{356F0ADF-D7A4-CFD8-5E17-A19B4688E68A}"/>
              </a:ext>
            </a:extLst>
          </xdr:cNvPr>
          <xdr:cNvSpPr>
            <a:spLocks noChangeArrowheads="1"/>
          </xdr:cNvSpPr>
        </xdr:nvSpPr>
        <xdr:spPr bwMode="auto">
          <a:xfrm>
            <a:off x="3376613" y="6238875"/>
            <a:ext cx="723900" cy="528638"/>
          </a:xfrm>
          <a:custGeom>
            <a:avLst/>
            <a:gdLst>
              <a:gd name="T0" fmla="*/ 1999 w 2011"/>
              <a:gd name="T1" fmla="*/ 0 h 1469"/>
              <a:gd name="T2" fmla="*/ 1999 w 2011"/>
              <a:gd name="T3" fmla="*/ 0 h 1469"/>
              <a:gd name="T4" fmla="*/ 11 w 2011"/>
              <a:gd name="T5" fmla="*/ 978 h 1469"/>
              <a:gd name="T6" fmla="*/ 0 w 2011"/>
              <a:gd name="T7" fmla="*/ 988 h 1469"/>
              <a:gd name="T8" fmla="*/ 0 w 2011"/>
              <a:gd name="T9" fmla="*/ 1457 h 1469"/>
              <a:gd name="T10" fmla="*/ 0 w 2011"/>
              <a:gd name="T11" fmla="*/ 1468 h 1469"/>
              <a:gd name="T12" fmla="*/ 11 w 2011"/>
              <a:gd name="T13" fmla="*/ 1468 h 1469"/>
              <a:gd name="T14" fmla="*/ 11 w 2011"/>
              <a:gd name="T15" fmla="*/ 1468 h 1469"/>
              <a:gd name="T16" fmla="*/ 156 w 2011"/>
              <a:gd name="T17" fmla="*/ 1395 h 1469"/>
              <a:gd name="T18" fmla="*/ 156 w 2011"/>
              <a:gd name="T19" fmla="*/ 1395 h 1469"/>
              <a:gd name="T20" fmla="*/ 156 w 2011"/>
              <a:gd name="T21" fmla="*/ 1145 h 1469"/>
              <a:gd name="T22" fmla="*/ 187 w 2011"/>
              <a:gd name="T23" fmla="*/ 1103 h 1469"/>
              <a:gd name="T24" fmla="*/ 885 w 2011"/>
              <a:gd name="T25" fmla="*/ 759 h 1469"/>
              <a:gd name="T26" fmla="*/ 927 w 2011"/>
              <a:gd name="T27" fmla="*/ 759 h 1469"/>
              <a:gd name="T28" fmla="*/ 947 w 2011"/>
              <a:gd name="T29" fmla="*/ 801 h 1469"/>
              <a:gd name="T30" fmla="*/ 947 w 2011"/>
              <a:gd name="T31" fmla="*/ 999 h 1469"/>
              <a:gd name="T32" fmla="*/ 947 w 2011"/>
              <a:gd name="T33" fmla="*/ 999 h 1469"/>
              <a:gd name="T34" fmla="*/ 958 w 2011"/>
              <a:gd name="T35" fmla="*/ 999 h 1469"/>
              <a:gd name="T36" fmla="*/ 1124 w 2011"/>
              <a:gd name="T37" fmla="*/ 915 h 1469"/>
              <a:gd name="T38" fmla="*/ 1135 w 2011"/>
              <a:gd name="T39" fmla="*/ 915 h 1469"/>
              <a:gd name="T40" fmla="*/ 1135 w 2011"/>
              <a:gd name="T41" fmla="*/ 665 h 1469"/>
              <a:gd name="T42" fmla="*/ 1156 w 2011"/>
              <a:gd name="T43" fmla="*/ 624 h 1469"/>
              <a:gd name="T44" fmla="*/ 1791 w 2011"/>
              <a:gd name="T45" fmla="*/ 312 h 1469"/>
              <a:gd name="T46" fmla="*/ 1833 w 2011"/>
              <a:gd name="T47" fmla="*/ 312 h 1469"/>
              <a:gd name="T48" fmla="*/ 1854 w 2011"/>
              <a:gd name="T49" fmla="*/ 353 h 1469"/>
              <a:gd name="T50" fmla="*/ 1854 w 2011"/>
              <a:gd name="T51" fmla="*/ 551 h 1469"/>
              <a:gd name="T52" fmla="*/ 1864 w 2011"/>
              <a:gd name="T53" fmla="*/ 551 h 1469"/>
              <a:gd name="T54" fmla="*/ 1864 w 2011"/>
              <a:gd name="T55" fmla="*/ 551 h 1469"/>
              <a:gd name="T56" fmla="*/ 2010 w 2011"/>
              <a:gd name="T57" fmla="*/ 488 h 1469"/>
              <a:gd name="T58" fmla="*/ 2010 w 2011"/>
              <a:gd name="T59" fmla="*/ 478 h 1469"/>
              <a:gd name="T60" fmla="*/ 2010 w 2011"/>
              <a:gd name="T61" fmla="*/ 10 h 1469"/>
              <a:gd name="T62" fmla="*/ 2010 w 2011"/>
              <a:gd name="T63" fmla="*/ 0 h 1469"/>
              <a:gd name="T64" fmla="*/ 1999 w 2011"/>
              <a:gd name="T65" fmla="*/ 0 h 14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2011" h="1469">
                <a:moveTo>
                  <a:pt x="1999" y="0"/>
                </a:moveTo>
                <a:lnTo>
                  <a:pt x="1999" y="0"/>
                </a:lnTo>
                <a:cubicBezTo>
                  <a:pt x="11" y="978"/>
                  <a:pt x="11" y="978"/>
                  <a:pt x="11" y="978"/>
                </a:cubicBezTo>
                <a:cubicBezTo>
                  <a:pt x="0" y="978"/>
                  <a:pt x="0" y="988"/>
                  <a:pt x="0" y="988"/>
                </a:cubicBezTo>
                <a:cubicBezTo>
                  <a:pt x="0" y="1457"/>
                  <a:pt x="0" y="1457"/>
                  <a:pt x="0" y="1457"/>
                </a:cubicBezTo>
                <a:cubicBezTo>
                  <a:pt x="0" y="1468"/>
                  <a:pt x="0" y="1468"/>
                  <a:pt x="0" y="1468"/>
                </a:cubicBezTo>
                <a:cubicBezTo>
                  <a:pt x="11" y="1468"/>
                  <a:pt x="11" y="1468"/>
                  <a:pt x="11" y="1468"/>
                </a:cubicBezTo>
                <a:lnTo>
                  <a:pt x="11" y="1468"/>
                </a:lnTo>
                <a:cubicBezTo>
                  <a:pt x="156" y="1395"/>
                  <a:pt x="156" y="1395"/>
                  <a:pt x="156" y="1395"/>
                </a:cubicBezTo>
                <a:lnTo>
                  <a:pt x="156" y="1395"/>
                </a:lnTo>
                <a:cubicBezTo>
                  <a:pt x="156" y="1145"/>
                  <a:pt x="156" y="1145"/>
                  <a:pt x="156" y="1145"/>
                </a:cubicBezTo>
                <a:cubicBezTo>
                  <a:pt x="156" y="1124"/>
                  <a:pt x="166" y="1113"/>
                  <a:pt x="187" y="1103"/>
                </a:cubicBezTo>
                <a:cubicBezTo>
                  <a:pt x="885" y="759"/>
                  <a:pt x="885" y="759"/>
                  <a:pt x="885" y="759"/>
                </a:cubicBezTo>
                <a:cubicBezTo>
                  <a:pt x="895" y="749"/>
                  <a:pt x="916" y="749"/>
                  <a:pt x="927" y="759"/>
                </a:cubicBezTo>
                <a:cubicBezTo>
                  <a:pt x="937" y="770"/>
                  <a:pt x="947" y="790"/>
                  <a:pt x="947" y="801"/>
                </a:cubicBezTo>
                <a:cubicBezTo>
                  <a:pt x="947" y="999"/>
                  <a:pt x="947" y="999"/>
                  <a:pt x="947" y="999"/>
                </a:cubicBezTo>
                <a:lnTo>
                  <a:pt x="947" y="999"/>
                </a:lnTo>
                <a:lnTo>
                  <a:pt x="958" y="999"/>
                </a:lnTo>
                <a:cubicBezTo>
                  <a:pt x="1124" y="915"/>
                  <a:pt x="1124" y="915"/>
                  <a:pt x="1124" y="915"/>
                </a:cubicBezTo>
                <a:lnTo>
                  <a:pt x="1135" y="915"/>
                </a:lnTo>
                <a:cubicBezTo>
                  <a:pt x="1135" y="665"/>
                  <a:pt x="1135" y="665"/>
                  <a:pt x="1135" y="665"/>
                </a:cubicBezTo>
                <a:cubicBezTo>
                  <a:pt x="1135" y="645"/>
                  <a:pt x="1145" y="624"/>
                  <a:pt x="1156" y="624"/>
                </a:cubicBezTo>
                <a:cubicBezTo>
                  <a:pt x="1791" y="312"/>
                  <a:pt x="1791" y="312"/>
                  <a:pt x="1791" y="312"/>
                </a:cubicBezTo>
                <a:cubicBezTo>
                  <a:pt x="1802" y="302"/>
                  <a:pt x="1822" y="302"/>
                  <a:pt x="1833" y="312"/>
                </a:cubicBezTo>
                <a:cubicBezTo>
                  <a:pt x="1854" y="323"/>
                  <a:pt x="1854" y="332"/>
                  <a:pt x="1854" y="353"/>
                </a:cubicBezTo>
                <a:cubicBezTo>
                  <a:pt x="1854" y="551"/>
                  <a:pt x="1854" y="551"/>
                  <a:pt x="1854" y="551"/>
                </a:cubicBezTo>
                <a:cubicBezTo>
                  <a:pt x="1854" y="551"/>
                  <a:pt x="1854" y="551"/>
                  <a:pt x="1864" y="551"/>
                </a:cubicBezTo>
                <a:cubicBezTo>
                  <a:pt x="1864" y="561"/>
                  <a:pt x="1864" y="561"/>
                  <a:pt x="1864" y="551"/>
                </a:cubicBezTo>
                <a:cubicBezTo>
                  <a:pt x="2010" y="488"/>
                  <a:pt x="2010" y="488"/>
                  <a:pt x="2010" y="488"/>
                </a:cubicBezTo>
                <a:lnTo>
                  <a:pt x="2010" y="478"/>
                </a:lnTo>
                <a:cubicBezTo>
                  <a:pt x="2010" y="10"/>
                  <a:pt x="2010" y="10"/>
                  <a:pt x="2010" y="10"/>
                </a:cubicBezTo>
                <a:lnTo>
                  <a:pt x="2010" y="0"/>
                </a:lnTo>
                <a:lnTo>
                  <a:pt x="1999" y="0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5" name="Freeform 51">
            <a:extLst>
              <a:ext uri="{FF2B5EF4-FFF2-40B4-BE49-F238E27FC236}">
                <a16:creationId xmlns:a16="http://schemas.microsoft.com/office/drawing/2014/main" id="{20B551B4-7B2F-564D-C441-37E56AC9B719}"/>
              </a:ext>
            </a:extLst>
          </xdr:cNvPr>
          <xdr:cNvSpPr>
            <a:spLocks noChangeArrowheads="1"/>
          </xdr:cNvSpPr>
        </xdr:nvSpPr>
        <xdr:spPr bwMode="auto">
          <a:xfrm>
            <a:off x="2776538" y="5951538"/>
            <a:ext cx="814387" cy="398462"/>
          </a:xfrm>
          <a:custGeom>
            <a:avLst/>
            <a:gdLst>
              <a:gd name="T0" fmla="*/ 0 w 2260"/>
              <a:gd name="T1" fmla="*/ 979 h 1105"/>
              <a:gd name="T2" fmla="*/ 0 w 2260"/>
              <a:gd name="T3" fmla="*/ 979 h 1105"/>
              <a:gd name="T4" fmla="*/ 0 w 2260"/>
              <a:gd name="T5" fmla="*/ 979 h 1105"/>
              <a:gd name="T6" fmla="*/ 271 w 2260"/>
              <a:gd name="T7" fmla="*/ 1104 h 1105"/>
              <a:gd name="T8" fmla="*/ 271 w 2260"/>
              <a:gd name="T9" fmla="*/ 1104 h 1105"/>
              <a:gd name="T10" fmla="*/ 281 w 2260"/>
              <a:gd name="T11" fmla="*/ 1104 h 1105"/>
              <a:gd name="T12" fmla="*/ 2249 w 2260"/>
              <a:gd name="T13" fmla="*/ 125 h 1105"/>
              <a:gd name="T14" fmla="*/ 2259 w 2260"/>
              <a:gd name="T15" fmla="*/ 125 h 1105"/>
              <a:gd name="T16" fmla="*/ 2249 w 2260"/>
              <a:gd name="T17" fmla="*/ 114 h 1105"/>
              <a:gd name="T18" fmla="*/ 1988 w 2260"/>
              <a:gd name="T19" fmla="*/ 0 h 1105"/>
              <a:gd name="T20" fmla="*/ 1978 w 2260"/>
              <a:gd name="T21" fmla="*/ 0 h 1105"/>
              <a:gd name="T22" fmla="*/ 0 w 2260"/>
              <a:gd name="T23" fmla="*/ 968 h 1105"/>
              <a:gd name="T24" fmla="*/ 0 w 2260"/>
              <a:gd name="T25" fmla="*/ 979 h 1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2260" h="1105">
                <a:moveTo>
                  <a:pt x="0" y="979"/>
                </a:moveTo>
                <a:lnTo>
                  <a:pt x="0" y="979"/>
                </a:lnTo>
                <a:lnTo>
                  <a:pt x="0" y="979"/>
                </a:lnTo>
                <a:cubicBezTo>
                  <a:pt x="271" y="1104"/>
                  <a:pt x="271" y="1104"/>
                  <a:pt x="271" y="1104"/>
                </a:cubicBezTo>
                <a:lnTo>
                  <a:pt x="271" y="1104"/>
                </a:lnTo>
                <a:cubicBezTo>
                  <a:pt x="271" y="1104"/>
                  <a:pt x="271" y="1104"/>
                  <a:pt x="281" y="1104"/>
                </a:cubicBezTo>
                <a:cubicBezTo>
                  <a:pt x="2249" y="125"/>
                  <a:pt x="2249" y="125"/>
                  <a:pt x="2249" y="125"/>
                </a:cubicBezTo>
                <a:cubicBezTo>
                  <a:pt x="2259" y="125"/>
                  <a:pt x="2259" y="125"/>
                  <a:pt x="2259" y="125"/>
                </a:cubicBezTo>
                <a:cubicBezTo>
                  <a:pt x="2259" y="125"/>
                  <a:pt x="2259" y="114"/>
                  <a:pt x="2249" y="114"/>
                </a:cubicBezTo>
                <a:cubicBezTo>
                  <a:pt x="1988" y="0"/>
                  <a:pt x="1988" y="0"/>
                  <a:pt x="1988" y="0"/>
                </a:cubicBezTo>
                <a:cubicBezTo>
                  <a:pt x="1978" y="0"/>
                  <a:pt x="1978" y="0"/>
                  <a:pt x="1978" y="0"/>
                </a:cubicBezTo>
                <a:cubicBezTo>
                  <a:pt x="0" y="968"/>
                  <a:pt x="0" y="968"/>
                  <a:pt x="0" y="968"/>
                </a:cubicBezTo>
                <a:cubicBezTo>
                  <a:pt x="0" y="968"/>
                  <a:pt x="0" y="968"/>
                  <a:pt x="0" y="979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6" name="Freeform 52">
            <a:extLst>
              <a:ext uri="{FF2B5EF4-FFF2-40B4-BE49-F238E27FC236}">
                <a16:creationId xmlns:a16="http://schemas.microsoft.com/office/drawing/2014/main" id="{81762169-B708-415A-847C-A46526058F5A}"/>
              </a:ext>
            </a:extLst>
          </xdr:cNvPr>
          <xdr:cNvSpPr>
            <a:spLocks noChangeArrowheads="1"/>
          </xdr:cNvSpPr>
        </xdr:nvSpPr>
        <xdr:spPr bwMode="auto">
          <a:xfrm>
            <a:off x="3230563" y="6153150"/>
            <a:ext cx="844550" cy="412750"/>
          </a:xfrm>
          <a:custGeom>
            <a:avLst/>
            <a:gdLst>
              <a:gd name="T0" fmla="*/ 1978 w 2344"/>
              <a:gd name="T1" fmla="*/ 0 h 1146"/>
              <a:gd name="T2" fmla="*/ 1978 w 2344"/>
              <a:gd name="T3" fmla="*/ 0 h 1146"/>
              <a:gd name="T4" fmla="*/ 0 w 2344"/>
              <a:gd name="T5" fmla="*/ 968 h 1146"/>
              <a:gd name="T6" fmla="*/ 0 w 2344"/>
              <a:gd name="T7" fmla="*/ 978 h 1146"/>
              <a:gd name="T8" fmla="*/ 0 w 2344"/>
              <a:gd name="T9" fmla="*/ 978 h 1146"/>
              <a:gd name="T10" fmla="*/ 354 w 2344"/>
              <a:gd name="T11" fmla="*/ 1145 h 1146"/>
              <a:gd name="T12" fmla="*/ 365 w 2344"/>
              <a:gd name="T13" fmla="*/ 1145 h 1146"/>
              <a:gd name="T14" fmla="*/ 365 w 2344"/>
              <a:gd name="T15" fmla="*/ 1145 h 1146"/>
              <a:gd name="T16" fmla="*/ 2343 w 2344"/>
              <a:gd name="T17" fmla="*/ 167 h 1146"/>
              <a:gd name="T18" fmla="*/ 2343 w 2344"/>
              <a:gd name="T19" fmla="*/ 167 h 1146"/>
              <a:gd name="T20" fmla="*/ 2343 w 2344"/>
              <a:gd name="T21" fmla="*/ 156 h 1146"/>
              <a:gd name="T22" fmla="*/ 1989 w 2344"/>
              <a:gd name="T23" fmla="*/ 0 h 1146"/>
              <a:gd name="T24" fmla="*/ 1978 w 2344"/>
              <a:gd name="T25" fmla="*/ 0 h 114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2344" h="1146">
                <a:moveTo>
                  <a:pt x="1978" y="0"/>
                </a:moveTo>
                <a:lnTo>
                  <a:pt x="1978" y="0"/>
                </a:lnTo>
                <a:cubicBezTo>
                  <a:pt x="0" y="968"/>
                  <a:pt x="0" y="968"/>
                  <a:pt x="0" y="968"/>
                </a:cubicBezTo>
                <a:lnTo>
                  <a:pt x="0" y="978"/>
                </a:lnTo>
                <a:lnTo>
                  <a:pt x="0" y="978"/>
                </a:lnTo>
                <a:cubicBezTo>
                  <a:pt x="354" y="1145"/>
                  <a:pt x="354" y="1145"/>
                  <a:pt x="354" y="1145"/>
                </a:cubicBezTo>
                <a:lnTo>
                  <a:pt x="365" y="1145"/>
                </a:lnTo>
                <a:lnTo>
                  <a:pt x="365" y="1145"/>
                </a:lnTo>
                <a:cubicBezTo>
                  <a:pt x="2343" y="167"/>
                  <a:pt x="2343" y="167"/>
                  <a:pt x="2343" y="167"/>
                </a:cubicBezTo>
                <a:lnTo>
                  <a:pt x="2343" y="167"/>
                </a:lnTo>
                <a:lnTo>
                  <a:pt x="2343" y="156"/>
                </a:lnTo>
                <a:cubicBezTo>
                  <a:pt x="1989" y="0"/>
                  <a:pt x="1989" y="0"/>
                  <a:pt x="1989" y="0"/>
                </a:cubicBezTo>
                <a:cubicBezTo>
                  <a:pt x="1978" y="0"/>
                  <a:pt x="1978" y="0"/>
                  <a:pt x="1978" y="0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7" name="Freeform 53">
            <a:extLst>
              <a:ext uri="{FF2B5EF4-FFF2-40B4-BE49-F238E27FC236}">
                <a16:creationId xmlns:a16="http://schemas.microsoft.com/office/drawing/2014/main" id="{916113F3-B509-832F-F13F-D5AF0E14A274}"/>
              </a:ext>
            </a:extLst>
          </xdr:cNvPr>
          <xdr:cNvSpPr>
            <a:spLocks noChangeArrowheads="1"/>
          </xdr:cNvSpPr>
        </xdr:nvSpPr>
        <xdr:spPr bwMode="auto">
          <a:xfrm>
            <a:off x="3960813" y="6392863"/>
            <a:ext cx="49212" cy="49212"/>
          </a:xfrm>
          <a:custGeom>
            <a:avLst/>
            <a:gdLst>
              <a:gd name="T0" fmla="*/ 125 w 137"/>
              <a:gd name="T1" fmla="*/ 135 h 136"/>
              <a:gd name="T2" fmla="*/ 125 w 137"/>
              <a:gd name="T3" fmla="*/ 135 h 136"/>
              <a:gd name="T4" fmla="*/ 136 w 137"/>
              <a:gd name="T5" fmla="*/ 135 h 136"/>
              <a:gd name="T6" fmla="*/ 136 w 137"/>
              <a:gd name="T7" fmla="*/ 135 h 136"/>
              <a:gd name="T8" fmla="*/ 136 w 137"/>
              <a:gd name="T9" fmla="*/ 125 h 136"/>
              <a:gd name="T10" fmla="*/ 136 w 137"/>
              <a:gd name="T11" fmla="*/ 10 h 136"/>
              <a:gd name="T12" fmla="*/ 136 w 137"/>
              <a:gd name="T13" fmla="*/ 0 h 136"/>
              <a:gd name="T14" fmla="*/ 125 w 137"/>
              <a:gd name="T15" fmla="*/ 0 h 136"/>
              <a:gd name="T16" fmla="*/ 0 w 137"/>
              <a:gd name="T17" fmla="*/ 62 h 136"/>
              <a:gd name="T18" fmla="*/ 0 w 137"/>
              <a:gd name="T19" fmla="*/ 73 h 136"/>
              <a:gd name="T20" fmla="*/ 0 w 137"/>
              <a:gd name="T21" fmla="*/ 83 h 136"/>
              <a:gd name="T22" fmla="*/ 125 w 137"/>
              <a:gd name="T23" fmla="*/ 135 h 1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7" h="136">
                <a:moveTo>
                  <a:pt x="125" y="135"/>
                </a:moveTo>
                <a:lnTo>
                  <a:pt x="125" y="135"/>
                </a:lnTo>
                <a:cubicBezTo>
                  <a:pt x="136" y="135"/>
                  <a:pt x="136" y="135"/>
                  <a:pt x="136" y="135"/>
                </a:cubicBezTo>
                <a:lnTo>
                  <a:pt x="136" y="135"/>
                </a:lnTo>
                <a:cubicBezTo>
                  <a:pt x="136" y="135"/>
                  <a:pt x="136" y="135"/>
                  <a:pt x="136" y="125"/>
                </a:cubicBezTo>
                <a:cubicBezTo>
                  <a:pt x="136" y="10"/>
                  <a:pt x="136" y="10"/>
                  <a:pt x="136" y="10"/>
                </a:cubicBezTo>
                <a:cubicBezTo>
                  <a:pt x="136" y="10"/>
                  <a:pt x="136" y="10"/>
                  <a:pt x="136" y="0"/>
                </a:cubicBezTo>
                <a:cubicBezTo>
                  <a:pt x="136" y="0"/>
                  <a:pt x="136" y="0"/>
                  <a:pt x="125" y="0"/>
                </a:cubicBezTo>
                <a:cubicBezTo>
                  <a:pt x="0" y="62"/>
                  <a:pt x="0" y="62"/>
                  <a:pt x="0" y="62"/>
                </a:cubicBezTo>
                <a:lnTo>
                  <a:pt x="0" y="73"/>
                </a:lnTo>
                <a:cubicBezTo>
                  <a:pt x="0" y="73"/>
                  <a:pt x="0" y="73"/>
                  <a:pt x="0" y="83"/>
                </a:cubicBezTo>
                <a:lnTo>
                  <a:pt x="125" y="135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8" name="Freeform 54">
            <a:extLst>
              <a:ext uri="{FF2B5EF4-FFF2-40B4-BE49-F238E27FC236}">
                <a16:creationId xmlns:a16="http://schemas.microsoft.com/office/drawing/2014/main" id="{2EBFA6D4-C89F-B4AB-7B56-C599183C24FD}"/>
              </a:ext>
            </a:extLst>
          </xdr:cNvPr>
          <xdr:cNvSpPr>
            <a:spLocks noChangeArrowheads="1"/>
          </xdr:cNvSpPr>
        </xdr:nvSpPr>
        <xdr:spPr bwMode="auto">
          <a:xfrm>
            <a:off x="2847975" y="6483350"/>
            <a:ext cx="49213" cy="49213"/>
          </a:xfrm>
          <a:custGeom>
            <a:avLst/>
            <a:gdLst>
              <a:gd name="T0" fmla="*/ 10 w 136"/>
              <a:gd name="T1" fmla="*/ 135 h 136"/>
              <a:gd name="T2" fmla="*/ 10 w 136"/>
              <a:gd name="T3" fmla="*/ 135 h 136"/>
              <a:gd name="T4" fmla="*/ 135 w 136"/>
              <a:gd name="T5" fmla="*/ 73 h 136"/>
              <a:gd name="T6" fmla="*/ 135 w 136"/>
              <a:gd name="T7" fmla="*/ 62 h 136"/>
              <a:gd name="T8" fmla="*/ 135 w 136"/>
              <a:gd name="T9" fmla="*/ 62 h 136"/>
              <a:gd name="T10" fmla="*/ 10 w 136"/>
              <a:gd name="T11" fmla="*/ 0 h 136"/>
              <a:gd name="T12" fmla="*/ 0 w 136"/>
              <a:gd name="T13" fmla="*/ 0 h 136"/>
              <a:gd name="T14" fmla="*/ 0 w 136"/>
              <a:gd name="T15" fmla="*/ 10 h 136"/>
              <a:gd name="T16" fmla="*/ 0 w 136"/>
              <a:gd name="T17" fmla="*/ 125 h 136"/>
              <a:gd name="T18" fmla="*/ 0 w 136"/>
              <a:gd name="T19" fmla="*/ 135 h 136"/>
              <a:gd name="T20" fmla="*/ 0 w 136"/>
              <a:gd name="T21" fmla="*/ 135 h 136"/>
              <a:gd name="T22" fmla="*/ 10 w 136"/>
              <a:gd name="T23" fmla="*/ 135 h 1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6" h="136">
                <a:moveTo>
                  <a:pt x="10" y="135"/>
                </a:moveTo>
                <a:lnTo>
                  <a:pt x="10" y="135"/>
                </a:lnTo>
                <a:cubicBezTo>
                  <a:pt x="135" y="73"/>
                  <a:pt x="135" y="73"/>
                  <a:pt x="135" y="73"/>
                </a:cubicBezTo>
                <a:cubicBezTo>
                  <a:pt x="135" y="73"/>
                  <a:pt x="135" y="73"/>
                  <a:pt x="135" y="62"/>
                </a:cubicBezTo>
                <a:lnTo>
                  <a:pt x="135" y="62"/>
                </a:lnTo>
                <a:cubicBezTo>
                  <a:pt x="10" y="0"/>
                  <a:pt x="10" y="0"/>
                  <a:pt x="10" y="0"/>
                </a:cubicBezTo>
                <a:cubicBezTo>
                  <a:pt x="0" y="0"/>
                  <a:pt x="0" y="0"/>
                  <a:pt x="0" y="0"/>
                </a:cubicBezTo>
                <a:lnTo>
                  <a:pt x="0" y="10"/>
                </a:lnTo>
                <a:cubicBezTo>
                  <a:pt x="0" y="125"/>
                  <a:pt x="0" y="125"/>
                  <a:pt x="0" y="125"/>
                </a:cubicBezTo>
                <a:cubicBezTo>
                  <a:pt x="0" y="135"/>
                  <a:pt x="0" y="135"/>
                  <a:pt x="0" y="135"/>
                </a:cubicBezTo>
                <a:lnTo>
                  <a:pt x="0" y="135"/>
                </a:lnTo>
                <a:lnTo>
                  <a:pt x="10" y="135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9" name="Freeform 55">
            <a:extLst>
              <a:ext uri="{FF2B5EF4-FFF2-40B4-BE49-F238E27FC236}">
                <a16:creationId xmlns:a16="http://schemas.microsoft.com/office/drawing/2014/main" id="{537AC373-6381-B224-542E-44FC0DA1C2F6}"/>
              </a:ext>
            </a:extLst>
          </xdr:cNvPr>
          <xdr:cNvSpPr>
            <a:spLocks noChangeArrowheads="1"/>
          </xdr:cNvSpPr>
        </xdr:nvSpPr>
        <xdr:spPr bwMode="auto">
          <a:xfrm>
            <a:off x="3068638" y="6081713"/>
            <a:ext cx="833437" cy="404812"/>
          </a:xfrm>
          <a:custGeom>
            <a:avLst/>
            <a:gdLst>
              <a:gd name="T0" fmla="*/ 0 w 2313"/>
              <a:gd name="T1" fmla="*/ 978 h 1125"/>
              <a:gd name="T2" fmla="*/ 0 w 2313"/>
              <a:gd name="T3" fmla="*/ 978 h 1125"/>
              <a:gd name="T4" fmla="*/ 323 w 2313"/>
              <a:gd name="T5" fmla="*/ 1124 h 1125"/>
              <a:gd name="T6" fmla="*/ 323 w 2313"/>
              <a:gd name="T7" fmla="*/ 1124 h 1125"/>
              <a:gd name="T8" fmla="*/ 334 w 2313"/>
              <a:gd name="T9" fmla="*/ 1124 h 1125"/>
              <a:gd name="T10" fmla="*/ 2301 w 2313"/>
              <a:gd name="T11" fmla="*/ 157 h 1125"/>
              <a:gd name="T12" fmla="*/ 2312 w 2313"/>
              <a:gd name="T13" fmla="*/ 146 h 1125"/>
              <a:gd name="T14" fmla="*/ 2301 w 2313"/>
              <a:gd name="T15" fmla="*/ 136 h 1125"/>
              <a:gd name="T16" fmla="*/ 1989 w 2313"/>
              <a:gd name="T17" fmla="*/ 0 h 1125"/>
              <a:gd name="T18" fmla="*/ 1978 w 2313"/>
              <a:gd name="T19" fmla="*/ 0 h 1125"/>
              <a:gd name="T20" fmla="*/ 0 w 2313"/>
              <a:gd name="T21" fmla="*/ 968 h 1125"/>
              <a:gd name="T22" fmla="*/ 0 w 2313"/>
              <a:gd name="T23" fmla="*/ 978 h 11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2313" h="1125">
                <a:moveTo>
                  <a:pt x="0" y="978"/>
                </a:moveTo>
                <a:lnTo>
                  <a:pt x="0" y="978"/>
                </a:lnTo>
                <a:cubicBezTo>
                  <a:pt x="323" y="1124"/>
                  <a:pt x="323" y="1124"/>
                  <a:pt x="323" y="1124"/>
                </a:cubicBezTo>
                <a:lnTo>
                  <a:pt x="323" y="1124"/>
                </a:lnTo>
                <a:cubicBezTo>
                  <a:pt x="323" y="1124"/>
                  <a:pt x="323" y="1124"/>
                  <a:pt x="334" y="1124"/>
                </a:cubicBezTo>
                <a:cubicBezTo>
                  <a:pt x="2301" y="157"/>
                  <a:pt x="2301" y="157"/>
                  <a:pt x="2301" y="157"/>
                </a:cubicBezTo>
                <a:cubicBezTo>
                  <a:pt x="2312" y="146"/>
                  <a:pt x="2312" y="146"/>
                  <a:pt x="2312" y="146"/>
                </a:cubicBezTo>
                <a:cubicBezTo>
                  <a:pt x="2312" y="146"/>
                  <a:pt x="2312" y="136"/>
                  <a:pt x="2301" y="136"/>
                </a:cubicBezTo>
                <a:cubicBezTo>
                  <a:pt x="1989" y="0"/>
                  <a:pt x="1989" y="0"/>
                  <a:pt x="1989" y="0"/>
                </a:cubicBezTo>
                <a:lnTo>
                  <a:pt x="1978" y="0"/>
                </a:lnTo>
                <a:cubicBezTo>
                  <a:pt x="0" y="968"/>
                  <a:pt x="0" y="968"/>
                  <a:pt x="0" y="968"/>
                </a:cubicBezTo>
                <a:cubicBezTo>
                  <a:pt x="0" y="968"/>
                  <a:pt x="0" y="968"/>
                  <a:pt x="0" y="978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10" name="Freeform 56">
            <a:extLst>
              <a:ext uri="{FF2B5EF4-FFF2-40B4-BE49-F238E27FC236}">
                <a16:creationId xmlns:a16="http://schemas.microsoft.com/office/drawing/2014/main" id="{63470483-EB0E-035F-6A08-8791CF310911}"/>
              </a:ext>
            </a:extLst>
          </xdr:cNvPr>
          <xdr:cNvSpPr>
            <a:spLocks noChangeArrowheads="1"/>
          </xdr:cNvSpPr>
        </xdr:nvSpPr>
        <xdr:spPr bwMode="auto">
          <a:xfrm>
            <a:off x="2919413" y="6015038"/>
            <a:ext cx="820737" cy="401637"/>
          </a:xfrm>
          <a:custGeom>
            <a:avLst/>
            <a:gdLst>
              <a:gd name="T0" fmla="*/ 0 w 2281"/>
              <a:gd name="T1" fmla="*/ 978 h 1114"/>
              <a:gd name="T2" fmla="*/ 0 w 2281"/>
              <a:gd name="T3" fmla="*/ 978 h 1114"/>
              <a:gd name="T4" fmla="*/ 291 w 2281"/>
              <a:gd name="T5" fmla="*/ 1113 h 1114"/>
              <a:gd name="T6" fmla="*/ 291 w 2281"/>
              <a:gd name="T7" fmla="*/ 1113 h 1114"/>
              <a:gd name="T8" fmla="*/ 302 w 2281"/>
              <a:gd name="T9" fmla="*/ 1113 h 1114"/>
              <a:gd name="T10" fmla="*/ 2280 w 2281"/>
              <a:gd name="T11" fmla="*/ 135 h 1114"/>
              <a:gd name="T12" fmla="*/ 2280 w 2281"/>
              <a:gd name="T13" fmla="*/ 135 h 1114"/>
              <a:gd name="T14" fmla="*/ 2280 w 2281"/>
              <a:gd name="T15" fmla="*/ 125 h 1114"/>
              <a:gd name="T16" fmla="*/ 1988 w 2281"/>
              <a:gd name="T17" fmla="*/ 0 h 1114"/>
              <a:gd name="T18" fmla="*/ 1978 w 2281"/>
              <a:gd name="T19" fmla="*/ 0 h 1114"/>
              <a:gd name="T20" fmla="*/ 0 w 2281"/>
              <a:gd name="T21" fmla="*/ 968 h 1114"/>
              <a:gd name="T22" fmla="*/ 0 w 2281"/>
              <a:gd name="T23" fmla="*/ 978 h 11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2281" h="1114">
                <a:moveTo>
                  <a:pt x="0" y="978"/>
                </a:moveTo>
                <a:lnTo>
                  <a:pt x="0" y="978"/>
                </a:lnTo>
                <a:cubicBezTo>
                  <a:pt x="291" y="1113"/>
                  <a:pt x="291" y="1113"/>
                  <a:pt x="291" y="1113"/>
                </a:cubicBezTo>
                <a:lnTo>
                  <a:pt x="291" y="1113"/>
                </a:lnTo>
                <a:lnTo>
                  <a:pt x="302" y="1113"/>
                </a:lnTo>
                <a:cubicBezTo>
                  <a:pt x="2280" y="135"/>
                  <a:pt x="2280" y="135"/>
                  <a:pt x="2280" y="135"/>
                </a:cubicBezTo>
                <a:lnTo>
                  <a:pt x="2280" y="135"/>
                </a:lnTo>
                <a:lnTo>
                  <a:pt x="2280" y="125"/>
                </a:lnTo>
                <a:cubicBezTo>
                  <a:pt x="1988" y="0"/>
                  <a:pt x="1988" y="0"/>
                  <a:pt x="1988" y="0"/>
                </a:cubicBezTo>
                <a:cubicBezTo>
                  <a:pt x="1978" y="0"/>
                  <a:pt x="1978" y="0"/>
                  <a:pt x="1978" y="0"/>
                </a:cubicBezTo>
                <a:cubicBezTo>
                  <a:pt x="0" y="968"/>
                  <a:pt x="0" y="968"/>
                  <a:pt x="0" y="968"/>
                </a:cubicBezTo>
                <a:cubicBezTo>
                  <a:pt x="0" y="968"/>
                  <a:pt x="0" y="968"/>
                  <a:pt x="0" y="978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11" name="Freeform 57">
            <a:extLst>
              <a:ext uri="{FF2B5EF4-FFF2-40B4-BE49-F238E27FC236}">
                <a16:creationId xmlns:a16="http://schemas.microsoft.com/office/drawing/2014/main" id="{A1C327E7-14D4-18E0-B477-038FDFCAFD81}"/>
              </a:ext>
            </a:extLst>
          </xdr:cNvPr>
          <xdr:cNvSpPr>
            <a:spLocks noChangeArrowheads="1"/>
          </xdr:cNvSpPr>
        </xdr:nvSpPr>
        <xdr:spPr bwMode="auto">
          <a:xfrm>
            <a:off x="3095625" y="6594475"/>
            <a:ext cx="52388" cy="49213"/>
          </a:xfrm>
          <a:custGeom>
            <a:avLst/>
            <a:gdLst>
              <a:gd name="T0" fmla="*/ 11 w 147"/>
              <a:gd name="T1" fmla="*/ 136 h 137"/>
              <a:gd name="T2" fmla="*/ 11 w 147"/>
              <a:gd name="T3" fmla="*/ 136 h 137"/>
              <a:gd name="T4" fmla="*/ 11 w 147"/>
              <a:gd name="T5" fmla="*/ 136 h 137"/>
              <a:gd name="T6" fmla="*/ 146 w 147"/>
              <a:gd name="T7" fmla="*/ 73 h 137"/>
              <a:gd name="T8" fmla="*/ 146 w 147"/>
              <a:gd name="T9" fmla="*/ 63 h 137"/>
              <a:gd name="T10" fmla="*/ 146 w 147"/>
              <a:gd name="T11" fmla="*/ 63 h 137"/>
              <a:gd name="T12" fmla="*/ 11 w 147"/>
              <a:gd name="T13" fmla="*/ 0 h 137"/>
              <a:gd name="T14" fmla="*/ 11 w 147"/>
              <a:gd name="T15" fmla="*/ 0 h 137"/>
              <a:gd name="T16" fmla="*/ 0 w 147"/>
              <a:gd name="T17" fmla="*/ 11 h 137"/>
              <a:gd name="T18" fmla="*/ 0 w 147"/>
              <a:gd name="T19" fmla="*/ 125 h 137"/>
              <a:gd name="T20" fmla="*/ 11 w 147"/>
              <a:gd name="T21" fmla="*/ 136 h 13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47" h="137">
                <a:moveTo>
                  <a:pt x="11" y="136"/>
                </a:moveTo>
                <a:lnTo>
                  <a:pt x="11" y="136"/>
                </a:lnTo>
                <a:lnTo>
                  <a:pt x="11" y="136"/>
                </a:lnTo>
                <a:cubicBezTo>
                  <a:pt x="146" y="73"/>
                  <a:pt x="146" y="73"/>
                  <a:pt x="146" y="73"/>
                </a:cubicBezTo>
                <a:lnTo>
                  <a:pt x="146" y="63"/>
                </a:lnTo>
                <a:lnTo>
                  <a:pt x="146" y="63"/>
                </a:lnTo>
                <a:cubicBezTo>
                  <a:pt x="11" y="0"/>
                  <a:pt x="11" y="0"/>
                  <a:pt x="11" y="0"/>
                </a:cubicBezTo>
                <a:lnTo>
                  <a:pt x="11" y="0"/>
                </a:lnTo>
                <a:cubicBezTo>
                  <a:pt x="0" y="0"/>
                  <a:pt x="0" y="0"/>
                  <a:pt x="0" y="11"/>
                </a:cubicBezTo>
                <a:cubicBezTo>
                  <a:pt x="0" y="125"/>
                  <a:pt x="0" y="125"/>
                  <a:pt x="0" y="125"/>
                </a:cubicBezTo>
                <a:lnTo>
                  <a:pt x="11" y="136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12" name="Freeform 58">
            <a:extLst>
              <a:ext uri="{FF2B5EF4-FFF2-40B4-BE49-F238E27FC236}">
                <a16:creationId xmlns:a16="http://schemas.microsoft.com/office/drawing/2014/main" id="{D2BA02E9-6AB5-1120-DD6C-6E173EF6001A}"/>
              </a:ext>
            </a:extLst>
          </xdr:cNvPr>
          <xdr:cNvSpPr>
            <a:spLocks noChangeArrowheads="1"/>
          </xdr:cNvSpPr>
        </xdr:nvSpPr>
        <xdr:spPr bwMode="auto">
          <a:xfrm>
            <a:off x="2751138" y="6329363"/>
            <a:ext cx="592137" cy="438150"/>
          </a:xfrm>
          <a:custGeom>
            <a:avLst/>
            <a:gdLst>
              <a:gd name="T0" fmla="*/ 177 w 1647"/>
              <a:gd name="T1" fmla="*/ 561 h 1219"/>
              <a:gd name="T2" fmla="*/ 177 w 1647"/>
              <a:gd name="T3" fmla="*/ 561 h 1219"/>
              <a:gd name="T4" fmla="*/ 177 w 1647"/>
              <a:gd name="T5" fmla="*/ 551 h 1219"/>
              <a:gd name="T6" fmla="*/ 177 w 1647"/>
              <a:gd name="T7" fmla="*/ 353 h 1219"/>
              <a:gd name="T8" fmla="*/ 198 w 1647"/>
              <a:gd name="T9" fmla="*/ 311 h 1219"/>
              <a:gd name="T10" fmla="*/ 239 w 1647"/>
              <a:gd name="T11" fmla="*/ 311 h 1219"/>
              <a:gd name="T12" fmla="*/ 656 w 1647"/>
              <a:gd name="T13" fmla="*/ 499 h 1219"/>
              <a:gd name="T14" fmla="*/ 687 w 1647"/>
              <a:gd name="T15" fmla="*/ 540 h 1219"/>
              <a:gd name="T16" fmla="*/ 687 w 1647"/>
              <a:gd name="T17" fmla="*/ 790 h 1219"/>
              <a:gd name="T18" fmla="*/ 687 w 1647"/>
              <a:gd name="T19" fmla="*/ 801 h 1219"/>
              <a:gd name="T20" fmla="*/ 864 w 1647"/>
              <a:gd name="T21" fmla="*/ 874 h 1219"/>
              <a:gd name="T22" fmla="*/ 864 w 1647"/>
              <a:gd name="T23" fmla="*/ 874 h 1219"/>
              <a:gd name="T24" fmla="*/ 875 w 1647"/>
              <a:gd name="T25" fmla="*/ 863 h 1219"/>
              <a:gd name="T26" fmla="*/ 864 w 1647"/>
              <a:gd name="T27" fmla="*/ 665 h 1219"/>
              <a:gd name="T28" fmla="*/ 896 w 1647"/>
              <a:gd name="T29" fmla="*/ 624 h 1219"/>
              <a:gd name="T30" fmla="*/ 937 w 1647"/>
              <a:gd name="T31" fmla="*/ 624 h 1219"/>
              <a:gd name="T32" fmla="*/ 1427 w 1647"/>
              <a:gd name="T33" fmla="*/ 843 h 1219"/>
              <a:gd name="T34" fmla="*/ 1458 w 1647"/>
              <a:gd name="T35" fmla="*/ 884 h 1219"/>
              <a:gd name="T36" fmla="*/ 1458 w 1647"/>
              <a:gd name="T37" fmla="*/ 1134 h 1219"/>
              <a:gd name="T38" fmla="*/ 1458 w 1647"/>
              <a:gd name="T39" fmla="*/ 1145 h 1219"/>
              <a:gd name="T40" fmla="*/ 1635 w 1647"/>
              <a:gd name="T41" fmla="*/ 1218 h 1219"/>
              <a:gd name="T42" fmla="*/ 1646 w 1647"/>
              <a:gd name="T43" fmla="*/ 1218 h 1219"/>
              <a:gd name="T44" fmla="*/ 1646 w 1647"/>
              <a:gd name="T45" fmla="*/ 1218 h 1219"/>
              <a:gd name="T46" fmla="*/ 1646 w 1647"/>
              <a:gd name="T47" fmla="*/ 1218 h 1219"/>
              <a:gd name="T48" fmla="*/ 1646 w 1647"/>
              <a:gd name="T49" fmla="*/ 738 h 1219"/>
              <a:gd name="T50" fmla="*/ 1646 w 1647"/>
              <a:gd name="T51" fmla="*/ 728 h 1219"/>
              <a:gd name="T52" fmla="*/ 10 w 1647"/>
              <a:gd name="T53" fmla="*/ 0 h 1219"/>
              <a:gd name="T54" fmla="*/ 0 w 1647"/>
              <a:gd name="T55" fmla="*/ 0 h 1219"/>
              <a:gd name="T56" fmla="*/ 0 w 1647"/>
              <a:gd name="T57" fmla="*/ 10 h 1219"/>
              <a:gd name="T58" fmla="*/ 0 w 1647"/>
              <a:gd name="T59" fmla="*/ 478 h 1219"/>
              <a:gd name="T60" fmla="*/ 0 w 1647"/>
              <a:gd name="T61" fmla="*/ 488 h 1219"/>
              <a:gd name="T62" fmla="*/ 167 w 1647"/>
              <a:gd name="T63" fmla="*/ 561 h 1219"/>
              <a:gd name="T64" fmla="*/ 177 w 1647"/>
              <a:gd name="T65" fmla="*/ 561 h 12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647" h="1219">
                <a:moveTo>
                  <a:pt x="177" y="561"/>
                </a:moveTo>
                <a:lnTo>
                  <a:pt x="177" y="561"/>
                </a:lnTo>
                <a:cubicBezTo>
                  <a:pt x="177" y="561"/>
                  <a:pt x="177" y="561"/>
                  <a:pt x="177" y="551"/>
                </a:cubicBezTo>
                <a:cubicBezTo>
                  <a:pt x="177" y="353"/>
                  <a:pt x="177" y="353"/>
                  <a:pt x="177" y="353"/>
                </a:cubicBezTo>
                <a:cubicBezTo>
                  <a:pt x="177" y="332"/>
                  <a:pt x="187" y="322"/>
                  <a:pt x="198" y="311"/>
                </a:cubicBezTo>
                <a:cubicBezTo>
                  <a:pt x="208" y="301"/>
                  <a:pt x="229" y="301"/>
                  <a:pt x="239" y="311"/>
                </a:cubicBezTo>
                <a:cubicBezTo>
                  <a:pt x="656" y="499"/>
                  <a:pt x="656" y="499"/>
                  <a:pt x="656" y="499"/>
                </a:cubicBezTo>
                <a:cubicBezTo>
                  <a:pt x="677" y="509"/>
                  <a:pt x="687" y="520"/>
                  <a:pt x="687" y="540"/>
                </a:cubicBezTo>
                <a:cubicBezTo>
                  <a:pt x="687" y="790"/>
                  <a:pt x="687" y="790"/>
                  <a:pt x="687" y="790"/>
                </a:cubicBezTo>
                <a:cubicBezTo>
                  <a:pt x="687" y="790"/>
                  <a:pt x="687" y="790"/>
                  <a:pt x="687" y="801"/>
                </a:cubicBezTo>
                <a:cubicBezTo>
                  <a:pt x="864" y="874"/>
                  <a:pt x="864" y="874"/>
                  <a:pt x="864" y="874"/>
                </a:cubicBezTo>
                <a:lnTo>
                  <a:pt x="864" y="874"/>
                </a:lnTo>
                <a:lnTo>
                  <a:pt x="875" y="863"/>
                </a:lnTo>
                <a:cubicBezTo>
                  <a:pt x="864" y="665"/>
                  <a:pt x="864" y="665"/>
                  <a:pt x="864" y="665"/>
                </a:cubicBezTo>
                <a:cubicBezTo>
                  <a:pt x="864" y="645"/>
                  <a:pt x="875" y="634"/>
                  <a:pt x="896" y="624"/>
                </a:cubicBezTo>
                <a:cubicBezTo>
                  <a:pt x="906" y="613"/>
                  <a:pt x="917" y="613"/>
                  <a:pt x="937" y="624"/>
                </a:cubicBezTo>
                <a:cubicBezTo>
                  <a:pt x="1427" y="843"/>
                  <a:pt x="1427" y="843"/>
                  <a:pt x="1427" y="843"/>
                </a:cubicBezTo>
                <a:cubicBezTo>
                  <a:pt x="1448" y="853"/>
                  <a:pt x="1458" y="863"/>
                  <a:pt x="1458" y="884"/>
                </a:cubicBezTo>
                <a:cubicBezTo>
                  <a:pt x="1458" y="1134"/>
                  <a:pt x="1458" y="1134"/>
                  <a:pt x="1458" y="1134"/>
                </a:cubicBezTo>
                <a:cubicBezTo>
                  <a:pt x="1458" y="1134"/>
                  <a:pt x="1458" y="1134"/>
                  <a:pt x="1458" y="1145"/>
                </a:cubicBezTo>
                <a:cubicBezTo>
                  <a:pt x="1635" y="1218"/>
                  <a:pt x="1635" y="1218"/>
                  <a:pt x="1635" y="1218"/>
                </a:cubicBezTo>
                <a:lnTo>
                  <a:pt x="1646" y="1218"/>
                </a:lnTo>
                <a:lnTo>
                  <a:pt x="1646" y="1218"/>
                </a:lnTo>
                <a:lnTo>
                  <a:pt x="1646" y="1218"/>
                </a:lnTo>
                <a:cubicBezTo>
                  <a:pt x="1646" y="738"/>
                  <a:pt x="1646" y="738"/>
                  <a:pt x="1646" y="738"/>
                </a:cubicBezTo>
                <a:cubicBezTo>
                  <a:pt x="1646" y="738"/>
                  <a:pt x="1646" y="738"/>
                  <a:pt x="1646" y="728"/>
                </a:cubicBezTo>
                <a:cubicBezTo>
                  <a:pt x="10" y="0"/>
                  <a:pt x="10" y="0"/>
                  <a:pt x="10" y="0"/>
                </a:cubicBezTo>
                <a:lnTo>
                  <a:pt x="0" y="0"/>
                </a:lnTo>
                <a:cubicBezTo>
                  <a:pt x="0" y="0"/>
                  <a:pt x="0" y="0"/>
                  <a:pt x="0" y="10"/>
                </a:cubicBezTo>
                <a:cubicBezTo>
                  <a:pt x="0" y="478"/>
                  <a:pt x="0" y="478"/>
                  <a:pt x="0" y="478"/>
                </a:cubicBezTo>
                <a:cubicBezTo>
                  <a:pt x="0" y="488"/>
                  <a:pt x="0" y="488"/>
                  <a:pt x="0" y="488"/>
                </a:cubicBezTo>
                <a:cubicBezTo>
                  <a:pt x="167" y="561"/>
                  <a:pt x="167" y="561"/>
                  <a:pt x="167" y="561"/>
                </a:cubicBezTo>
                <a:cubicBezTo>
                  <a:pt x="167" y="561"/>
                  <a:pt x="167" y="561"/>
                  <a:pt x="177" y="561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13" name="Freeform 59">
            <a:extLst>
              <a:ext uri="{FF2B5EF4-FFF2-40B4-BE49-F238E27FC236}">
                <a16:creationId xmlns:a16="http://schemas.microsoft.com/office/drawing/2014/main" id="{3B413EBF-0078-8915-188F-3296484F7ADA}"/>
              </a:ext>
            </a:extLst>
          </xdr:cNvPr>
          <xdr:cNvSpPr>
            <a:spLocks noChangeArrowheads="1"/>
          </xdr:cNvSpPr>
        </xdr:nvSpPr>
        <xdr:spPr bwMode="auto">
          <a:xfrm>
            <a:off x="3635375" y="6557963"/>
            <a:ext cx="49213" cy="46037"/>
          </a:xfrm>
          <a:custGeom>
            <a:avLst/>
            <a:gdLst>
              <a:gd name="T0" fmla="*/ 125 w 137"/>
              <a:gd name="T1" fmla="*/ 125 h 126"/>
              <a:gd name="T2" fmla="*/ 125 w 137"/>
              <a:gd name="T3" fmla="*/ 125 h 126"/>
              <a:gd name="T4" fmla="*/ 125 w 137"/>
              <a:gd name="T5" fmla="*/ 125 h 126"/>
              <a:gd name="T6" fmla="*/ 136 w 137"/>
              <a:gd name="T7" fmla="*/ 125 h 126"/>
              <a:gd name="T8" fmla="*/ 136 w 137"/>
              <a:gd name="T9" fmla="*/ 115 h 126"/>
              <a:gd name="T10" fmla="*/ 136 w 137"/>
              <a:gd name="T11" fmla="*/ 0 h 126"/>
              <a:gd name="T12" fmla="*/ 136 w 137"/>
              <a:gd name="T13" fmla="*/ 0 h 126"/>
              <a:gd name="T14" fmla="*/ 125 w 137"/>
              <a:gd name="T15" fmla="*/ 0 h 126"/>
              <a:gd name="T16" fmla="*/ 11 w 137"/>
              <a:gd name="T17" fmla="*/ 52 h 126"/>
              <a:gd name="T18" fmla="*/ 0 w 137"/>
              <a:gd name="T19" fmla="*/ 63 h 126"/>
              <a:gd name="T20" fmla="*/ 11 w 137"/>
              <a:gd name="T21" fmla="*/ 73 h 126"/>
              <a:gd name="T22" fmla="*/ 125 w 137"/>
              <a:gd name="T23" fmla="*/ 125 h 1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7" h="126">
                <a:moveTo>
                  <a:pt x="125" y="125"/>
                </a:moveTo>
                <a:lnTo>
                  <a:pt x="125" y="125"/>
                </a:lnTo>
                <a:lnTo>
                  <a:pt x="125" y="125"/>
                </a:lnTo>
                <a:cubicBezTo>
                  <a:pt x="136" y="125"/>
                  <a:pt x="136" y="125"/>
                  <a:pt x="136" y="125"/>
                </a:cubicBezTo>
                <a:lnTo>
                  <a:pt x="136" y="115"/>
                </a:lnTo>
                <a:cubicBezTo>
                  <a:pt x="136" y="0"/>
                  <a:pt x="136" y="0"/>
                  <a:pt x="136" y="0"/>
                </a:cubicBezTo>
                <a:lnTo>
                  <a:pt x="136" y="0"/>
                </a:lnTo>
                <a:lnTo>
                  <a:pt x="125" y="0"/>
                </a:lnTo>
                <a:cubicBezTo>
                  <a:pt x="11" y="52"/>
                  <a:pt x="11" y="52"/>
                  <a:pt x="11" y="52"/>
                </a:cubicBezTo>
                <a:cubicBezTo>
                  <a:pt x="0" y="63"/>
                  <a:pt x="0" y="63"/>
                  <a:pt x="0" y="63"/>
                </a:cubicBezTo>
                <a:cubicBezTo>
                  <a:pt x="0" y="63"/>
                  <a:pt x="0" y="73"/>
                  <a:pt x="11" y="73"/>
                </a:cubicBezTo>
                <a:lnTo>
                  <a:pt x="125" y="125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</xdr:grpSp>
    <xdr:clientData/>
  </xdr:twoCellAnchor>
  <xdr:twoCellAnchor editAs="oneCell">
    <xdr:from>
      <xdr:col>2</xdr:col>
      <xdr:colOff>595156</xdr:colOff>
      <xdr:row>1</xdr:row>
      <xdr:rowOff>49715</xdr:rowOff>
    </xdr:from>
    <xdr:to>
      <xdr:col>6</xdr:col>
      <xdr:colOff>298822</xdr:colOff>
      <xdr:row>4</xdr:row>
      <xdr:rowOff>158417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C1969EE-E632-40E6-ACBC-9007B30CB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656" y="240215"/>
          <a:ext cx="2774078" cy="814673"/>
        </a:xfrm>
        <a:prstGeom prst="rect">
          <a:avLst/>
        </a:prstGeom>
      </xdr:spPr>
    </xdr:pic>
    <xdr:clientData/>
  </xdr:twoCellAnchor>
  <xdr:twoCellAnchor editAs="oneCell">
    <xdr:from>
      <xdr:col>8</xdr:col>
      <xdr:colOff>275165</xdr:colOff>
      <xdr:row>61</xdr:row>
      <xdr:rowOff>52916</xdr:rowOff>
    </xdr:from>
    <xdr:to>
      <xdr:col>9</xdr:col>
      <xdr:colOff>740831</xdr:colOff>
      <xdr:row>65</xdr:row>
      <xdr:rowOff>178345</xdr:rowOff>
    </xdr:to>
    <xdr:pic>
      <xdr:nvPicPr>
        <xdr:cNvPr id="89" name="Picture 18">
          <a:extLst>
            <a:ext uri="{FF2B5EF4-FFF2-40B4-BE49-F238E27FC236}">
              <a16:creationId xmlns:a16="http://schemas.microsoft.com/office/drawing/2014/main" id="{E9490A0C-3EB0-4C73-84C6-71DC17374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6498" y="10371666"/>
          <a:ext cx="1238249" cy="876846"/>
        </a:xfrm>
        <a:prstGeom prst="rect">
          <a:avLst/>
        </a:prstGeom>
      </xdr:spPr>
    </xdr:pic>
    <xdr:clientData/>
  </xdr:twoCellAnchor>
  <xdr:twoCellAnchor editAs="oneCell">
    <xdr:from>
      <xdr:col>10</xdr:col>
      <xdr:colOff>306912</xdr:colOff>
      <xdr:row>62</xdr:row>
      <xdr:rowOff>152433</xdr:rowOff>
    </xdr:from>
    <xdr:to>
      <xdr:col>12</xdr:col>
      <xdr:colOff>116413</xdr:colOff>
      <xdr:row>64</xdr:row>
      <xdr:rowOff>100424</xdr:rowOff>
    </xdr:to>
    <xdr:pic>
      <xdr:nvPicPr>
        <xdr:cNvPr id="90" name="Picture 14">
          <a:extLst>
            <a:ext uri="{FF2B5EF4-FFF2-40B4-BE49-F238E27FC236}">
              <a16:creationId xmlns:a16="http://schemas.microsoft.com/office/drawing/2014/main" id="{93E674D6-E9DA-4659-AA43-FC7D0FB2A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02912" y="10661683"/>
          <a:ext cx="1354668" cy="328991"/>
        </a:xfrm>
        <a:prstGeom prst="rect">
          <a:avLst/>
        </a:prstGeom>
      </xdr:spPr>
    </xdr:pic>
    <xdr:clientData/>
  </xdr:twoCellAnchor>
  <xdr:twoCellAnchor>
    <xdr:from>
      <xdr:col>1</xdr:col>
      <xdr:colOff>380999</xdr:colOff>
      <xdr:row>61</xdr:row>
      <xdr:rowOff>98540</xdr:rowOff>
    </xdr:from>
    <xdr:to>
      <xdr:col>4</xdr:col>
      <xdr:colOff>95247</xdr:colOff>
      <xdr:row>65</xdr:row>
      <xdr:rowOff>176626</xdr:rowOff>
    </xdr:to>
    <xdr:grpSp>
      <xdr:nvGrpSpPr>
        <xdr:cNvPr id="91" name="Grupo 90">
          <a:extLst>
            <a:ext uri="{FF2B5EF4-FFF2-40B4-BE49-F238E27FC236}">
              <a16:creationId xmlns:a16="http://schemas.microsoft.com/office/drawing/2014/main" id="{9114E70A-7E28-44CC-916E-7B7718A17448}"/>
            </a:ext>
          </a:extLst>
        </xdr:cNvPr>
        <xdr:cNvGrpSpPr/>
      </xdr:nvGrpSpPr>
      <xdr:grpSpPr>
        <a:xfrm>
          <a:off x="526675" y="12514658"/>
          <a:ext cx="1664072" cy="828880"/>
          <a:chOff x="9336987" y="4184513"/>
          <a:chExt cx="1744155" cy="610190"/>
        </a:xfrm>
      </xdr:grpSpPr>
      <xdr:sp macro="" textlink="">
        <xdr:nvSpPr>
          <xdr:cNvPr id="92" name="TextBox 44">
            <a:extLst>
              <a:ext uri="{FF2B5EF4-FFF2-40B4-BE49-F238E27FC236}">
                <a16:creationId xmlns:a16="http://schemas.microsoft.com/office/drawing/2014/main" id="{0696DF5A-2F96-CC65-FAAF-B494C72696A3}"/>
              </a:ext>
            </a:extLst>
          </xdr:cNvPr>
          <xdr:cNvSpPr txBox="1"/>
        </xdr:nvSpPr>
        <xdr:spPr>
          <a:xfrm>
            <a:off x="9336987" y="4184513"/>
            <a:ext cx="1744155" cy="2009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GB" sz="800" b="1">
                <a:solidFill>
                  <a:srgbClr val="013976"/>
                </a:solidFill>
                <a:effectLst/>
                <a:latin typeface="Arial" panose="020B0604020202020204" pitchFamily="34" charset="0"/>
                <a:ea typeface="Verdana" panose="020B0604030504040204" pitchFamily="34" charset="0"/>
                <a:cs typeface="Arial" panose="020B0604020202020204" pitchFamily="34" charset="0"/>
              </a:rPr>
              <a:t>Tiempo Estimado de Entrega</a:t>
            </a:r>
          </a:p>
        </xdr:txBody>
      </xdr:sp>
      <xdr:pic>
        <xdr:nvPicPr>
          <xdr:cNvPr id="93" name="Picture 14">
            <a:extLst>
              <a:ext uri="{FF2B5EF4-FFF2-40B4-BE49-F238E27FC236}">
                <a16:creationId xmlns:a16="http://schemas.microsoft.com/office/drawing/2014/main" id="{3C9CC5B6-FE89-4C62-EA70-A0DF8BE3F0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9926071" y="4366517"/>
            <a:ext cx="438927" cy="428186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84662</xdr:colOff>
      <xdr:row>61</xdr:row>
      <xdr:rowOff>113122</xdr:rowOff>
    </xdr:from>
    <xdr:to>
      <xdr:col>6</xdr:col>
      <xdr:colOff>222250</xdr:colOff>
      <xdr:row>65</xdr:row>
      <xdr:rowOff>176623</xdr:rowOff>
    </xdr:to>
    <xdr:grpSp>
      <xdr:nvGrpSpPr>
        <xdr:cNvPr id="94" name="Grupo 93">
          <a:extLst>
            <a:ext uri="{FF2B5EF4-FFF2-40B4-BE49-F238E27FC236}">
              <a16:creationId xmlns:a16="http://schemas.microsoft.com/office/drawing/2014/main" id="{5EDECA8B-3126-4C53-B938-0A3782D22342}"/>
            </a:ext>
          </a:extLst>
        </xdr:cNvPr>
        <xdr:cNvGrpSpPr/>
      </xdr:nvGrpSpPr>
      <xdr:grpSpPr>
        <a:xfrm>
          <a:off x="2180162" y="12529240"/>
          <a:ext cx="1684000" cy="814295"/>
          <a:chOff x="9356868" y="1707248"/>
          <a:chExt cx="1539465" cy="845595"/>
        </a:xfrm>
      </xdr:grpSpPr>
      <xdr:pic>
        <xdr:nvPicPr>
          <xdr:cNvPr id="95" name="Picture 12">
            <a:extLst>
              <a:ext uri="{FF2B5EF4-FFF2-40B4-BE49-F238E27FC236}">
                <a16:creationId xmlns:a16="http://schemas.microsoft.com/office/drawing/2014/main" id="{CA4A56EC-D278-C153-91E1-EF6E2BEF9E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9770265" y="2001370"/>
            <a:ext cx="678420" cy="551473"/>
          </a:xfrm>
          <a:prstGeom prst="rect">
            <a:avLst/>
          </a:prstGeom>
        </xdr:spPr>
      </xdr:pic>
      <xdr:sp macro="" textlink="">
        <xdr:nvSpPr>
          <xdr:cNvPr id="96" name="TextBox 44">
            <a:extLst>
              <a:ext uri="{FF2B5EF4-FFF2-40B4-BE49-F238E27FC236}">
                <a16:creationId xmlns:a16="http://schemas.microsoft.com/office/drawing/2014/main" id="{A2CF2CC1-64B1-D98E-D68D-5A616EE0E35B}"/>
              </a:ext>
            </a:extLst>
          </xdr:cNvPr>
          <xdr:cNvSpPr txBox="1"/>
        </xdr:nvSpPr>
        <xdr:spPr>
          <a:xfrm>
            <a:off x="9356868" y="1707248"/>
            <a:ext cx="1539465" cy="27823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GB" sz="800" b="1">
                <a:solidFill>
                  <a:srgbClr val="013976"/>
                </a:solidFill>
                <a:effectLst/>
                <a:latin typeface="Arial" panose="020B0604020202020204" pitchFamily="34" charset="0"/>
                <a:ea typeface="Verdana" panose="020B0604030504040204" pitchFamily="34" charset="0"/>
                <a:cs typeface="Arial" panose="020B0604020202020204" pitchFamily="34" charset="0"/>
              </a:rPr>
              <a:t>Servicio Pre12 / Pre14</a:t>
            </a:r>
          </a:p>
        </xdr:txBody>
      </xdr:sp>
    </xdr:grpSp>
    <xdr:clientData/>
  </xdr:twoCellAnchor>
  <xdr:twoCellAnchor editAs="oneCell">
    <xdr:from>
      <xdr:col>12</xdr:col>
      <xdr:colOff>560914</xdr:colOff>
      <xdr:row>61</xdr:row>
      <xdr:rowOff>128330</xdr:rowOff>
    </xdr:from>
    <xdr:to>
      <xdr:col>14</xdr:col>
      <xdr:colOff>359683</xdr:colOff>
      <xdr:row>65</xdr:row>
      <xdr:rowOff>176625</xdr:rowOff>
    </xdr:to>
    <xdr:pic>
      <xdr:nvPicPr>
        <xdr:cNvPr id="97" name="Picture 7">
          <a:extLst>
            <a:ext uri="{FF2B5EF4-FFF2-40B4-BE49-F238E27FC236}">
              <a16:creationId xmlns:a16="http://schemas.microsoft.com/office/drawing/2014/main" id="{0A7BC894-B7A4-462E-9EAC-A07C4A346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11581" y="10447080"/>
          <a:ext cx="1343936" cy="799712"/>
        </a:xfrm>
        <a:prstGeom prst="rect">
          <a:avLst/>
        </a:prstGeom>
      </xdr:spPr>
    </xdr:pic>
    <xdr:clientData/>
  </xdr:twoCellAnchor>
  <xdr:twoCellAnchor editAs="oneCell">
    <xdr:from>
      <xdr:col>6</xdr:col>
      <xdr:colOff>444497</xdr:colOff>
      <xdr:row>61</xdr:row>
      <xdr:rowOff>176625</xdr:rowOff>
    </xdr:from>
    <xdr:to>
      <xdr:col>7</xdr:col>
      <xdr:colOff>624414</xdr:colOff>
      <xdr:row>64</xdr:row>
      <xdr:rowOff>151225</xdr:rowOff>
    </xdr:to>
    <xdr:pic>
      <xdr:nvPicPr>
        <xdr:cNvPr id="98" name="Picture 15">
          <a:extLst>
            <a:ext uri="{FF2B5EF4-FFF2-40B4-BE49-F238E27FC236}">
              <a16:creationId xmlns:a16="http://schemas.microsoft.com/office/drawing/2014/main" id="{6AA829B1-D7D5-40A5-82D6-22C9354AE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31164" y="10495375"/>
          <a:ext cx="952500" cy="546100"/>
        </a:xfrm>
        <a:prstGeom prst="rect">
          <a:avLst/>
        </a:prstGeom>
      </xdr:spPr>
    </xdr:pic>
    <xdr:clientData/>
  </xdr:twoCellAnchor>
  <xdr:twoCellAnchor>
    <xdr:from>
      <xdr:col>11</xdr:col>
      <xdr:colOff>497416</xdr:colOff>
      <xdr:row>30</xdr:row>
      <xdr:rowOff>243417</xdr:rowOff>
    </xdr:from>
    <xdr:to>
      <xdr:col>20</xdr:col>
      <xdr:colOff>44824</xdr:colOff>
      <xdr:row>55</xdr:row>
      <xdr:rowOff>22411</xdr:rowOff>
    </xdr:to>
    <xdr:grpSp>
      <xdr:nvGrpSpPr>
        <xdr:cNvPr id="16" name="Grupo 23">
          <a:extLst>
            <a:ext uri="{FF2B5EF4-FFF2-40B4-BE49-F238E27FC236}">
              <a16:creationId xmlns:a16="http://schemas.microsoft.com/office/drawing/2014/main" id="{EBCA0CA3-59E4-4089-8078-77CA4E691FFD}"/>
            </a:ext>
          </a:extLst>
        </xdr:cNvPr>
        <xdr:cNvGrpSpPr/>
      </xdr:nvGrpSpPr>
      <xdr:grpSpPr>
        <a:xfrm>
          <a:off x="8005357" y="7056593"/>
          <a:ext cx="6506261" cy="4339789"/>
          <a:chOff x="0" y="0"/>
          <a:chExt cx="6143287" cy="4473087"/>
        </a:xfrm>
      </xdr:grpSpPr>
      <xdr:grpSp>
        <xdr:nvGrpSpPr>
          <xdr:cNvPr id="17" name="Gruppo 5">
            <a:extLst>
              <a:ext uri="{FF2B5EF4-FFF2-40B4-BE49-F238E27FC236}">
                <a16:creationId xmlns:a16="http://schemas.microsoft.com/office/drawing/2014/main" id="{4400CC90-BBDF-5703-EB2A-E236C95E6DF9}"/>
              </a:ext>
            </a:extLst>
          </xdr:cNvPr>
          <xdr:cNvGrpSpPr/>
        </xdr:nvGrpSpPr>
        <xdr:grpSpPr>
          <a:xfrm>
            <a:off x="124972" y="0"/>
            <a:ext cx="1323304" cy="2098766"/>
            <a:chOff x="124972" y="0"/>
            <a:chExt cx="1343745" cy="1722517"/>
          </a:xfrm>
        </xdr:grpSpPr>
        <xdr:sp macro="" textlink="">
          <xdr:nvSpPr>
            <xdr:cNvPr id="18" name="Google Shape;934;p5">
              <a:extLst>
                <a:ext uri="{FF2B5EF4-FFF2-40B4-BE49-F238E27FC236}">
                  <a16:creationId xmlns:a16="http://schemas.microsoft.com/office/drawing/2014/main" id="{BB5F49DC-8442-D7F5-B3A6-07E41AD75597}"/>
                </a:ext>
              </a:extLst>
            </xdr:cNvPr>
            <xdr:cNvSpPr txBox="1"/>
          </xdr:nvSpPr>
          <xdr:spPr>
            <a:xfrm>
              <a:off x="124972" y="0"/>
              <a:ext cx="1343745" cy="386316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000" b="1">
                  <a:solidFill>
                    <a:srgbClr val="013976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Full Pallet</a:t>
              </a:r>
              <a:endParaRPr sz="1050" b="1">
                <a:solidFill>
                  <a:srgbClr val="013976"/>
                </a:solidFill>
                <a:latin typeface="Frutiger LT Std 55 Roman" panose="020B0602020204020204" pitchFamily="34" charset="77"/>
              </a:endParaRPr>
            </a:p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400" b="1">
                  <a:solidFill>
                    <a:srgbClr val="00B0F0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1.200 Kg</a:t>
              </a:r>
              <a:endParaRPr sz="1050" b="1">
                <a:solidFill>
                  <a:srgbClr val="00B0F0"/>
                </a:solidFill>
                <a:latin typeface="Frutiger LT Std 55 Roman" panose="020B0602020204020204" pitchFamily="34" charset="77"/>
              </a:endParaRPr>
            </a:p>
          </xdr:txBody>
        </xdr:sp>
        <xdr:grpSp>
          <xdr:nvGrpSpPr>
            <xdr:cNvPr id="19" name="Gruppo 82">
              <a:extLst>
                <a:ext uri="{FF2B5EF4-FFF2-40B4-BE49-F238E27FC236}">
                  <a16:creationId xmlns:a16="http://schemas.microsoft.com/office/drawing/2014/main" id="{E3884074-FFE9-008C-A244-1C1679BB489E}"/>
                </a:ext>
              </a:extLst>
            </xdr:cNvPr>
            <xdr:cNvGrpSpPr/>
          </xdr:nvGrpSpPr>
          <xdr:grpSpPr>
            <a:xfrm>
              <a:off x="297994" y="1288508"/>
              <a:ext cx="1104744" cy="434009"/>
              <a:chOff x="297994" y="1288508"/>
              <a:chExt cx="787478" cy="360378"/>
            </a:xfrm>
          </xdr:grpSpPr>
          <xdr:sp macro="" textlink="">
            <xdr:nvSpPr>
              <xdr:cNvPr id="20" name="Google Shape;935;p5">
                <a:extLst>
                  <a:ext uri="{FF2B5EF4-FFF2-40B4-BE49-F238E27FC236}">
                    <a16:creationId xmlns:a16="http://schemas.microsoft.com/office/drawing/2014/main" id="{97E1E6D2-EAB2-7077-599B-644C683E811E}"/>
                  </a:ext>
                </a:extLst>
              </xdr:cNvPr>
              <xdr:cNvSpPr txBox="1"/>
            </xdr:nvSpPr>
            <xdr:spPr>
              <a:xfrm>
                <a:off x="297994" y="1288508"/>
                <a:ext cx="787478" cy="36037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Altura: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Largo: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Ancho: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21" name="Google Shape;936;p5">
                <a:extLst>
                  <a:ext uri="{FF2B5EF4-FFF2-40B4-BE49-F238E27FC236}">
                    <a16:creationId xmlns:a16="http://schemas.microsoft.com/office/drawing/2014/main" id="{9214C218-BF23-822F-BF6F-B5488B36F005}"/>
                  </a:ext>
                </a:extLst>
              </xdr:cNvPr>
              <xdr:cNvSpPr txBox="1"/>
            </xdr:nvSpPr>
            <xdr:spPr>
              <a:xfrm>
                <a:off x="464806" y="1292944"/>
                <a:ext cx="537416" cy="35294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220cm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100cm</a:t>
                </a:r>
                <a:endParaRPr lang="it-IT"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</xdr:txBody>
          </xdr:sp>
        </xdr:grpSp>
        <xdr:sp macro="" textlink="">
          <xdr:nvSpPr>
            <xdr:cNvPr id="22" name="Google Shape;937;p5">
              <a:extLst>
                <a:ext uri="{FF2B5EF4-FFF2-40B4-BE49-F238E27FC236}">
                  <a16:creationId xmlns:a16="http://schemas.microsoft.com/office/drawing/2014/main" id="{FF3D95BB-E66A-C97E-79FF-683F805022C0}"/>
                </a:ext>
              </a:extLst>
            </xdr:cNvPr>
            <xdr:cNvSpPr/>
          </xdr:nvSpPr>
          <xdr:spPr>
            <a:xfrm>
              <a:off x="456240" y="444239"/>
              <a:ext cx="681207" cy="845042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23" name="Gruppo 5">
            <a:extLst>
              <a:ext uri="{FF2B5EF4-FFF2-40B4-BE49-F238E27FC236}">
                <a16:creationId xmlns:a16="http://schemas.microsoft.com/office/drawing/2014/main" id="{B97C37FA-4505-642D-6D7A-71C057AA8FEA}"/>
              </a:ext>
            </a:extLst>
          </xdr:cNvPr>
          <xdr:cNvGrpSpPr/>
        </xdr:nvGrpSpPr>
        <xdr:grpSpPr>
          <a:xfrm>
            <a:off x="1675388" y="21211"/>
            <a:ext cx="1323304" cy="2098776"/>
            <a:chOff x="1675388" y="21211"/>
            <a:chExt cx="1343745" cy="1722524"/>
          </a:xfrm>
        </xdr:grpSpPr>
        <xdr:sp macro="" textlink="">
          <xdr:nvSpPr>
            <xdr:cNvPr id="31" name="Google Shape;934;p5">
              <a:extLst>
                <a:ext uri="{FF2B5EF4-FFF2-40B4-BE49-F238E27FC236}">
                  <a16:creationId xmlns:a16="http://schemas.microsoft.com/office/drawing/2014/main" id="{AE2B7C3E-A63B-9067-793C-3A3E2C83ABD7}"/>
                </a:ext>
              </a:extLst>
            </xdr:cNvPr>
            <xdr:cNvSpPr txBox="1"/>
          </xdr:nvSpPr>
          <xdr:spPr>
            <a:xfrm>
              <a:off x="1675388" y="21211"/>
              <a:ext cx="1343745" cy="38631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000" b="1">
                  <a:solidFill>
                    <a:srgbClr val="013976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EuroPallet</a:t>
              </a:r>
              <a:endParaRPr sz="1050" b="1">
                <a:solidFill>
                  <a:srgbClr val="013976"/>
                </a:solidFill>
                <a:latin typeface="Frutiger LT Std 55 Roman" panose="020B0602020204020204" pitchFamily="34" charset="77"/>
              </a:endParaRPr>
            </a:p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400" b="1">
                  <a:solidFill>
                    <a:srgbClr val="00B0F0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900 Kg</a:t>
              </a:r>
              <a:endParaRPr sz="1050" b="1">
                <a:solidFill>
                  <a:srgbClr val="00B0F0"/>
                </a:solidFill>
                <a:latin typeface="Frutiger LT Std 55 Roman" panose="020B0602020204020204" pitchFamily="34" charset="77"/>
              </a:endParaRPr>
            </a:p>
          </xdr:txBody>
        </xdr:sp>
        <xdr:grpSp>
          <xdr:nvGrpSpPr>
            <xdr:cNvPr id="32" name="Gruppo 82">
              <a:extLst>
                <a:ext uri="{FF2B5EF4-FFF2-40B4-BE49-F238E27FC236}">
                  <a16:creationId xmlns:a16="http://schemas.microsoft.com/office/drawing/2014/main" id="{D547E49E-4C64-A3A6-C0A1-9D9C2AF93DA4}"/>
                </a:ext>
              </a:extLst>
            </xdr:cNvPr>
            <xdr:cNvGrpSpPr/>
          </xdr:nvGrpSpPr>
          <xdr:grpSpPr>
            <a:xfrm>
              <a:off x="1848411" y="1309725"/>
              <a:ext cx="1104744" cy="434010"/>
              <a:chOff x="1848411" y="1309725"/>
              <a:chExt cx="787478" cy="360378"/>
            </a:xfrm>
          </xdr:grpSpPr>
          <xdr:sp macro="" textlink="">
            <xdr:nvSpPr>
              <xdr:cNvPr id="33" name="Google Shape;935;p5">
                <a:extLst>
                  <a:ext uri="{FF2B5EF4-FFF2-40B4-BE49-F238E27FC236}">
                    <a16:creationId xmlns:a16="http://schemas.microsoft.com/office/drawing/2014/main" id="{1D78F53F-94EB-F364-7529-C2BA245D39D6}"/>
                  </a:ext>
                </a:extLst>
              </xdr:cNvPr>
              <xdr:cNvSpPr txBox="1"/>
            </xdr:nvSpPr>
            <xdr:spPr>
              <a:xfrm>
                <a:off x="1848411" y="1309725"/>
                <a:ext cx="787478" cy="36037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Altura: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Largo: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Ancho: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34" name="Google Shape;936;p5">
                <a:extLst>
                  <a:ext uri="{FF2B5EF4-FFF2-40B4-BE49-F238E27FC236}">
                    <a16:creationId xmlns:a16="http://schemas.microsoft.com/office/drawing/2014/main" id="{80D47E80-4E07-25C9-F49B-D2FC1657B509}"/>
                  </a:ext>
                </a:extLst>
              </xdr:cNvPr>
              <xdr:cNvSpPr txBox="1"/>
            </xdr:nvSpPr>
            <xdr:spPr>
              <a:xfrm>
                <a:off x="2015223" y="1314175"/>
                <a:ext cx="537416" cy="35294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220cm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80cm</a:t>
                </a:r>
                <a:endParaRPr lang="it-IT"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</xdr:txBody>
          </xdr:sp>
        </xdr:grpSp>
        <xdr:sp macro="" textlink="">
          <xdr:nvSpPr>
            <xdr:cNvPr id="35" name="Google Shape;937;p5">
              <a:extLst>
                <a:ext uri="{FF2B5EF4-FFF2-40B4-BE49-F238E27FC236}">
                  <a16:creationId xmlns:a16="http://schemas.microsoft.com/office/drawing/2014/main" id="{3360A39B-A7C4-9B91-8163-5925C6A5246D}"/>
                </a:ext>
              </a:extLst>
            </xdr:cNvPr>
            <xdr:cNvSpPr/>
          </xdr:nvSpPr>
          <xdr:spPr>
            <a:xfrm>
              <a:off x="2006656" y="465452"/>
              <a:ext cx="681208" cy="845042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36" name="Gruppo 5">
            <a:extLst>
              <a:ext uri="{FF2B5EF4-FFF2-40B4-BE49-F238E27FC236}">
                <a16:creationId xmlns:a16="http://schemas.microsoft.com/office/drawing/2014/main" id="{9756AF61-7D7F-F2B7-000F-E54F3208161D}"/>
              </a:ext>
            </a:extLst>
          </xdr:cNvPr>
          <xdr:cNvGrpSpPr/>
        </xdr:nvGrpSpPr>
        <xdr:grpSpPr>
          <a:xfrm>
            <a:off x="3410121" y="31312"/>
            <a:ext cx="2643411" cy="2098783"/>
            <a:chOff x="3412754" y="31312"/>
            <a:chExt cx="2684244" cy="1722530"/>
          </a:xfrm>
        </xdr:grpSpPr>
        <xdr:sp macro="" textlink="">
          <xdr:nvSpPr>
            <xdr:cNvPr id="37" name="Google Shape;934;p5">
              <a:extLst>
                <a:ext uri="{FF2B5EF4-FFF2-40B4-BE49-F238E27FC236}">
                  <a16:creationId xmlns:a16="http://schemas.microsoft.com/office/drawing/2014/main" id="{1D60EDCC-45E5-7E84-9B2F-D0F847F79E38}"/>
                </a:ext>
              </a:extLst>
            </xdr:cNvPr>
            <xdr:cNvSpPr txBox="1"/>
          </xdr:nvSpPr>
          <xdr:spPr>
            <a:xfrm>
              <a:off x="4753253" y="31312"/>
              <a:ext cx="1343745" cy="38631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000" b="1">
                  <a:solidFill>
                    <a:srgbClr val="013976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Extra Light Pallet</a:t>
              </a:r>
              <a:endParaRPr sz="1050" b="1">
                <a:solidFill>
                  <a:srgbClr val="013976"/>
                </a:solidFill>
                <a:latin typeface="Frutiger LT Std 55 Roman" panose="020B0602020204020204" pitchFamily="34" charset="77"/>
              </a:endParaRPr>
            </a:p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400" b="1">
                  <a:solidFill>
                    <a:srgbClr val="00B0F0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450 Kg</a:t>
              </a:r>
              <a:endParaRPr sz="1050" b="1">
                <a:solidFill>
                  <a:srgbClr val="00B0F0"/>
                </a:solidFill>
                <a:latin typeface="Frutiger LT Std 55 Roman" panose="020B0602020204020204" pitchFamily="34" charset="77"/>
              </a:endParaRPr>
            </a:p>
          </xdr:txBody>
        </xdr:sp>
        <xdr:grpSp>
          <xdr:nvGrpSpPr>
            <xdr:cNvPr id="38" name="Gruppo 82">
              <a:extLst>
                <a:ext uri="{FF2B5EF4-FFF2-40B4-BE49-F238E27FC236}">
                  <a16:creationId xmlns:a16="http://schemas.microsoft.com/office/drawing/2014/main" id="{5BB2DDDE-22C2-2662-4AF1-BF560239C046}"/>
                </a:ext>
              </a:extLst>
            </xdr:cNvPr>
            <xdr:cNvGrpSpPr/>
          </xdr:nvGrpSpPr>
          <xdr:grpSpPr>
            <a:xfrm>
              <a:off x="3412754" y="1319831"/>
              <a:ext cx="1104744" cy="434011"/>
              <a:chOff x="3412754" y="1319831"/>
              <a:chExt cx="787478" cy="360379"/>
            </a:xfrm>
          </xdr:grpSpPr>
          <xdr:sp macro="" textlink="">
            <xdr:nvSpPr>
              <xdr:cNvPr id="39" name="Google Shape;935;p5">
                <a:extLst>
                  <a:ext uri="{FF2B5EF4-FFF2-40B4-BE49-F238E27FC236}">
                    <a16:creationId xmlns:a16="http://schemas.microsoft.com/office/drawing/2014/main" id="{C927BDD5-4BDC-1260-A1B5-52E1A5023572}"/>
                  </a:ext>
                </a:extLst>
              </xdr:cNvPr>
              <xdr:cNvSpPr txBox="1"/>
            </xdr:nvSpPr>
            <xdr:spPr>
              <a:xfrm>
                <a:off x="3412754" y="1319831"/>
                <a:ext cx="787478" cy="36037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Altura: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Largo: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Ancho: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40" name="Google Shape;936;p5">
                <a:extLst>
                  <a:ext uri="{FF2B5EF4-FFF2-40B4-BE49-F238E27FC236}">
                    <a16:creationId xmlns:a16="http://schemas.microsoft.com/office/drawing/2014/main" id="{28B1A448-D1FC-3AF9-3461-86EE25BA26B3}"/>
                  </a:ext>
                </a:extLst>
              </xdr:cNvPr>
              <xdr:cNvSpPr txBox="1"/>
            </xdr:nvSpPr>
            <xdr:spPr>
              <a:xfrm>
                <a:off x="3579567" y="1324274"/>
                <a:ext cx="537416" cy="35294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160cm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100cm</a:t>
                </a:r>
                <a:endParaRPr lang="it-IT"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</xdr:txBody>
          </xdr:sp>
        </xdr:grpSp>
        <xdr:sp macro="" textlink="">
          <xdr:nvSpPr>
            <xdr:cNvPr id="41" name="Google Shape;937;p5">
              <a:extLst>
                <a:ext uri="{FF2B5EF4-FFF2-40B4-BE49-F238E27FC236}">
                  <a16:creationId xmlns:a16="http://schemas.microsoft.com/office/drawing/2014/main" id="{72B2B695-1360-C605-D7DD-C176AB947B27}"/>
                </a:ext>
              </a:extLst>
            </xdr:cNvPr>
            <xdr:cNvSpPr/>
          </xdr:nvSpPr>
          <xdr:spPr>
            <a:xfrm>
              <a:off x="5153150" y="459628"/>
              <a:ext cx="681208" cy="845042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42" name="Grupo 27">
            <a:extLst>
              <a:ext uri="{FF2B5EF4-FFF2-40B4-BE49-F238E27FC236}">
                <a16:creationId xmlns:a16="http://schemas.microsoft.com/office/drawing/2014/main" id="{5A884755-8B41-0D77-E265-EE7D3EBB3490}"/>
              </a:ext>
            </a:extLst>
          </xdr:cNvPr>
          <xdr:cNvGrpSpPr/>
        </xdr:nvGrpSpPr>
        <xdr:grpSpPr>
          <a:xfrm>
            <a:off x="3288785" y="3851"/>
            <a:ext cx="2702858" cy="2136640"/>
            <a:chOff x="3266471" y="10638"/>
            <a:chExt cx="2744609" cy="1753601"/>
          </a:xfrm>
        </xdr:grpSpPr>
        <xdr:grpSp>
          <xdr:nvGrpSpPr>
            <xdr:cNvPr id="43" name="Gruppo 5">
              <a:extLst>
                <a:ext uri="{FF2B5EF4-FFF2-40B4-BE49-F238E27FC236}">
                  <a16:creationId xmlns:a16="http://schemas.microsoft.com/office/drawing/2014/main" id="{48738AA4-2FCA-852F-3528-613124BF70A7}"/>
                </a:ext>
              </a:extLst>
            </xdr:cNvPr>
            <xdr:cNvGrpSpPr/>
          </xdr:nvGrpSpPr>
          <xdr:grpSpPr>
            <a:xfrm>
              <a:off x="3266471" y="10638"/>
              <a:ext cx="2744609" cy="1753601"/>
              <a:chOff x="3266471" y="10638"/>
              <a:chExt cx="2744609" cy="1753601"/>
            </a:xfrm>
          </xdr:grpSpPr>
          <xdr:sp macro="" textlink="">
            <xdr:nvSpPr>
              <xdr:cNvPr id="44" name="Google Shape;934;p5">
                <a:extLst>
                  <a:ext uri="{FF2B5EF4-FFF2-40B4-BE49-F238E27FC236}">
                    <a16:creationId xmlns:a16="http://schemas.microsoft.com/office/drawing/2014/main" id="{1E9919B3-8969-0B77-68E9-BEAD2A2E6655}"/>
                  </a:ext>
                </a:extLst>
              </xdr:cNvPr>
              <xdr:cNvSpPr txBox="1"/>
            </xdr:nvSpPr>
            <xdr:spPr>
              <a:xfrm>
                <a:off x="3266471" y="10638"/>
                <a:ext cx="1343745" cy="38631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Half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600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45" name="Gruppo 82">
                <a:extLst>
                  <a:ext uri="{FF2B5EF4-FFF2-40B4-BE49-F238E27FC236}">
                    <a16:creationId xmlns:a16="http://schemas.microsoft.com/office/drawing/2014/main" id="{925FEB31-3845-FF9F-15F6-481B990CBB0F}"/>
                  </a:ext>
                </a:extLst>
              </xdr:cNvPr>
              <xdr:cNvGrpSpPr/>
            </xdr:nvGrpSpPr>
            <xdr:grpSpPr>
              <a:xfrm>
                <a:off x="4906336" y="1330228"/>
                <a:ext cx="1104744" cy="434011"/>
                <a:chOff x="4906336" y="1330228"/>
                <a:chExt cx="787478" cy="360379"/>
              </a:xfrm>
            </xdr:grpSpPr>
            <xdr:sp macro="" textlink="">
              <xdr:nvSpPr>
                <xdr:cNvPr id="46" name="Google Shape;935;p5">
                  <a:extLst>
                    <a:ext uri="{FF2B5EF4-FFF2-40B4-BE49-F238E27FC236}">
                      <a16:creationId xmlns:a16="http://schemas.microsoft.com/office/drawing/2014/main" id="{353E29AF-AECB-5D92-EDD2-FB85508B88F8}"/>
                    </a:ext>
                  </a:extLst>
                </xdr:cNvPr>
                <xdr:cNvSpPr txBox="1"/>
              </xdr:nvSpPr>
              <xdr:spPr>
                <a:xfrm>
                  <a:off x="4906336" y="1330228"/>
                  <a:ext cx="787478" cy="36037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47" name="Google Shape;936;p5">
                  <a:extLst>
                    <a:ext uri="{FF2B5EF4-FFF2-40B4-BE49-F238E27FC236}">
                      <a16:creationId xmlns:a16="http://schemas.microsoft.com/office/drawing/2014/main" id="{5EC2CA80-C103-592C-61F7-658D4E7706E0}"/>
                    </a:ext>
                  </a:extLst>
                </xdr:cNvPr>
                <xdr:cNvSpPr txBox="1"/>
              </xdr:nvSpPr>
              <xdr:spPr>
                <a:xfrm>
                  <a:off x="5073148" y="1334671"/>
                  <a:ext cx="537416" cy="35294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r"/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220cm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100cm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48" name="Google Shape;919;p5">
              <a:extLst>
                <a:ext uri="{FF2B5EF4-FFF2-40B4-BE49-F238E27FC236}">
                  <a16:creationId xmlns:a16="http://schemas.microsoft.com/office/drawing/2014/main" id="{26A0A4F2-1FFA-B8E1-5428-329FBCC2391E}"/>
                </a:ext>
              </a:extLst>
            </xdr:cNvPr>
            <xdr:cNvSpPr/>
          </xdr:nvSpPr>
          <xdr:spPr>
            <a:xfrm>
              <a:off x="3566895" y="602094"/>
              <a:ext cx="701569" cy="661971"/>
            </a:xfrm>
            <a:prstGeom prst="rect">
              <a:avLst/>
            </a:prstGeom>
            <a:blipFill rotWithShape="1">
              <a:blip xmlns:r="http://schemas.openxmlformats.org/officeDocument/2006/relationships" r:embed="rId9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49" name="Grupo 28">
            <a:extLst>
              <a:ext uri="{FF2B5EF4-FFF2-40B4-BE49-F238E27FC236}">
                <a16:creationId xmlns:a16="http://schemas.microsoft.com/office/drawing/2014/main" id="{A2BA0C6F-3F98-E919-589D-77B2AD1910C3}"/>
              </a:ext>
            </a:extLst>
          </xdr:cNvPr>
          <xdr:cNvGrpSpPr/>
        </xdr:nvGrpSpPr>
        <xdr:grpSpPr>
          <a:xfrm>
            <a:off x="0" y="2355590"/>
            <a:ext cx="1447887" cy="2117497"/>
            <a:chOff x="0" y="2355588"/>
            <a:chExt cx="1470254" cy="1737888"/>
          </a:xfrm>
        </xdr:grpSpPr>
        <xdr:grpSp>
          <xdr:nvGrpSpPr>
            <xdr:cNvPr id="50" name="Gruppo 5">
              <a:extLst>
                <a:ext uri="{FF2B5EF4-FFF2-40B4-BE49-F238E27FC236}">
                  <a16:creationId xmlns:a16="http://schemas.microsoft.com/office/drawing/2014/main" id="{6C58AF13-14A8-C52C-3986-590C26E255F7}"/>
                </a:ext>
              </a:extLst>
            </xdr:cNvPr>
            <xdr:cNvGrpSpPr/>
          </xdr:nvGrpSpPr>
          <xdr:grpSpPr>
            <a:xfrm>
              <a:off x="0" y="2355588"/>
              <a:ext cx="1470254" cy="1737888"/>
              <a:chOff x="0" y="2355588"/>
              <a:chExt cx="1470254" cy="1737888"/>
            </a:xfrm>
          </xdr:grpSpPr>
          <xdr:sp macro="" textlink="">
            <xdr:nvSpPr>
              <xdr:cNvPr id="51" name="Google Shape;934;p5">
                <a:extLst>
                  <a:ext uri="{FF2B5EF4-FFF2-40B4-BE49-F238E27FC236}">
                    <a16:creationId xmlns:a16="http://schemas.microsoft.com/office/drawing/2014/main" id="{B90BE788-A20E-7286-6D58-704015883BB7}"/>
                  </a:ext>
                </a:extLst>
              </xdr:cNvPr>
              <xdr:cNvSpPr txBox="1"/>
            </xdr:nvSpPr>
            <xdr:spPr>
              <a:xfrm>
                <a:off x="0" y="2355588"/>
                <a:ext cx="1470254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Super Euro Light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300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52" name="Gruppo 82">
                <a:extLst>
                  <a:ext uri="{FF2B5EF4-FFF2-40B4-BE49-F238E27FC236}">
                    <a16:creationId xmlns:a16="http://schemas.microsoft.com/office/drawing/2014/main" id="{CDA06360-5338-2EB2-ACD9-D0DDD7807F5F}"/>
                  </a:ext>
                </a:extLst>
              </xdr:cNvPr>
              <xdr:cNvGrpSpPr/>
            </xdr:nvGrpSpPr>
            <xdr:grpSpPr>
              <a:xfrm>
                <a:off x="288724" y="3670877"/>
                <a:ext cx="1104744" cy="422599"/>
                <a:chOff x="288724" y="3670877"/>
                <a:chExt cx="787478" cy="350903"/>
              </a:xfrm>
            </xdr:grpSpPr>
            <xdr:sp macro="" textlink="">
              <xdr:nvSpPr>
                <xdr:cNvPr id="53" name="Google Shape;935;p5">
                  <a:extLst>
                    <a:ext uri="{FF2B5EF4-FFF2-40B4-BE49-F238E27FC236}">
                      <a16:creationId xmlns:a16="http://schemas.microsoft.com/office/drawing/2014/main" id="{EE2674B4-7048-05D8-01B6-67ABE7EE65E3}"/>
                    </a:ext>
                  </a:extLst>
                </xdr:cNvPr>
                <xdr:cNvSpPr txBox="1"/>
              </xdr:nvSpPr>
              <xdr:spPr>
                <a:xfrm>
                  <a:off x="288724" y="3670877"/>
                  <a:ext cx="787478" cy="350903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54" name="Google Shape;936;p5">
                  <a:extLst>
                    <a:ext uri="{FF2B5EF4-FFF2-40B4-BE49-F238E27FC236}">
                      <a16:creationId xmlns:a16="http://schemas.microsoft.com/office/drawing/2014/main" id="{C1A05EF2-119C-FFA1-1967-AF5C9AA0454C}"/>
                    </a:ext>
                  </a:extLst>
                </xdr:cNvPr>
                <xdr:cNvSpPr txBox="1"/>
              </xdr:nvSpPr>
              <xdr:spPr>
                <a:xfrm>
                  <a:off x="455536" y="3675132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220cm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80cm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55" name="Google Shape;937;p5">
              <a:extLst>
                <a:ext uri="{FF2B5EF4-FFF2-40B4-BE49-F238E27FC236}">
                  <a16:creationId xmlns:a16="http://schemas.microsoft.com/office/drawing/2014/main" id="{6146B775-6FEC-2381-D85B-A2D71903429E}"/>
                </a:ext>
              </a:extLst>
            </xdr:cNvPr>
            <xdr:cNvSpPr/>
          </xdr:nvSpPr>
          <xdr:spPr>
            <a:xfrm>
              <a:off x="509534" y="2829349"/>
              <a:ext cx="563778" cy="822827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56" name="Grupo 29">
            <a:extLst>
              <a:ext uri="{FF2B5EF4-FFF2-40B4-BE49-F238E27FC236}">
                <a16:creationId xmlns:a16="http://schemas.microsoft.com/office/drawing/2014/main" id="{668BFAA7-A16B-6A91-D4D7-2970837E38A9}"/>
              </a:ext>
            </a:extLst>
          </xdr:cNvPr>
          <xdr:cNvGrpSpPr/>
        </xdr:nvGrpSpPr>
        <xdr:grpSpPr>
          <a:xfrm>
            <a:off x="1675621" y="2359943"/>
            <a:ext cx="1323303" cy="2086405"/>
            <a:chOff x="1675621" y="2359943"/>
            <a:chExt cx="1557528" cy="1984299"/>
          </a:xfrm>
        </xdr:grpSpPr>
        <xdr:grpSp>
          <xdr:nvGrpSpPr>
            <xdr:cNvPr id="57" name="Gruppo 5">
              <a:extLst>
                <a:ext uri="{FF2B5EF4-FFF2-40B4-BE49-F238E27FC236}">
                  <a16:creationId xmlns:a16="http://schemas.microsoft.com/office/drawing/2014/main" id="{8E68076C-C3AC-BF43-CB39-46F931AC28D1}"/>
                </a:ext>
              </a:extLst>
            </xdr:cNvPr>
            <xdr:cNvGrpSpPr/>
          </xdr:nvGrpSpPr>
          <xdr:grpSpPr>
            <a:xfrm>
              <a:off x="1675621" y="2359943"/>
              <a:ext cx="1557528" cy="1984299"/>
              <a:chOff x="1675621" y="2359944"/>
              <a:chExt cx="1343745" cy="1712371"/>
            </a:xfrm>
          </xdr:grpSpPr>
          <xdr:sp macro="" textlink="">
            <xdr:nvSpPr>
              <xdr:cNvPr id="58" name="Google Shape;934;p5">
                <a:extLst>
                  <a:ext uri="{FF2B5EF4-FFF2-40B4-BE49-F238E27FC236}">
                    <a16:creationId xmlns:a16="http://schemas.microsoft.com/office/drawing/2014/main" id="{3545697C-AADA-EE6E-B656-6E59596EA03F}"/>
                  </a:ext>
                </a:extLst>
              </xdr:cNvPr>
              <xdr:cNvSpPr txBox="1"/>
            </xdr:nvSpPr>
            <xdr:spPr>
              <a:xfrm>
                <a:off x="1675621" y="2359944"/>
                <a:ext cx="1343745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Quarter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300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59" name="Gruppo 82">
                <a:extLst>
                  <a:ext uri="{FF2B5EF4-FFF2-40B4-BE49-F238E27FC236}">
                    <a16:creationId xmlns:a16="http://schemas.microsoft.com/office/drawing/2014/main" id="{6A5EBE17-5A60-30BB-C063-B103EEA80D0D}"/>
                  </a:ext>
                </a:extLst>
              </xdr:cNvPr>
              <xdr:cNvGrpSpPr/>
            </xdr:nvGrpSpPr>
            <xdr:grpSpPr>
              <a:xfrm>
                <a:off x="1848644" y="3649715"/>
                <a:ext cx="1104744" cy="422600"/>
                <a:chOff x="1848644" y="3649715"/>
                <a:chExt cx="787478" cy="350904"/>
              </a:xfrm>
            </xdr:grpSpPr>
            <xdr:sp macro="" textlink="">
              <xdr:nvSpPr>
                <xdr:cNvPr id="60" name="Google Shape;935;p5">
                  <a:extLst>
                    <a:ext uri="{FF2B5EF4-FFF2-40B4-BE49-F238E27FC236}">
                      <a16:creationId xmlns:a16="http://schemas.microsoft.com/office/drawing/2014/main" id="{E60070F1-354C-DB9C-D2EB-C666933E07FA}"/>
                    </a:ext>
                  </a:extLst>
                </xdr:cNvPr>
                <xdr:cNvSpPr txBox="1"/>
              </xdr:nvSpPr>
              <xdr:spPr>
                <a:xfrm>
                  <a:off x="1848644" y="3649715"/>
                  <a:ext cx="787478" cy="35090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61" name="Google Shape;936;p5">
                  <a:extLst>
                    <a:ext uri="{FF2B5EF4-FFF2-40B4-BE49-F238E27FC236}">
                      <a16:creationId xmlns:a16="http://schemas.microsoft.com/office/drawing/2014/main" id="{02FD0604-8AAA-92C3-BD0E-CE1D58AE1224}"/>
                    </a:ext>
                  </a:extLst>
                </xdr:cNvPr>
                <xdr:cNvSpPr txBox="1"/>
              </xdr:nvSpPr>
              <xdr:spPr>
                <a:xfrm>
                  <a:off x="2015456" y="3653965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110cm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100cm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62" name="Google Shape;377;p2">
              <a:extLst>
                <a:ext uri="{FF2B5EF4-FFF2-40B4-BE49-F238E27FC236}">
                  <a16:creationId xmlns:a16="http://schemas.microsoft.com/office/drawing/2014/main" id="{C49F2426-4C7F-6354-2888-C7E257C9921D}"/>
                </a:ext>
              </a:extLst>
            </xdr:cNvPr>
            <xdr:cNvSpPr/>
          </xdr:nvSpPr>
          <xdr:spPr>
            <a:xfrm>
              <a:off x="2081601" y="3012886"/>
              <a:ext cx="786752" cy="678737"/>
            </a:xfrm>
            <a:prstGeom prst="rect">
              <a:avLst/>
            </a:prstGeom>
            <a:blipFill rotWithShape="1">
              <a:blip xmlns:r="http://schemas.openxmlformats.org/officeDocument/2006/relationships" r:embed="rId10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63" name="Grupo 75">
            <a:extLst>
              <a:ext uri="{FF2B5EF4-FFF2-40B4-BE49-F238E27FC236}">
                <a16:creationId xmlns:a16="http://schemas.microsoft.com/office/drawing/2014/main" id="{B889AFA7-2C8D-D033-303A-D22CA20EB863}"/>
              </a:ext>
            </a:extLst>
          </xdr:cNvPr>
          <xdr:cNvGrpSpPr/>
        </xdr:nvGrpSpPr>
        <xdr:grpSpPr>
          <a:xfrm>
            <a:off x="3288786" y="2359943"/>
            <a:ext cx="1323304" cy="2086405"/>
            <a:chOff x="3288784" y="2359943"/>
            <a:chExt cx="1557528" cy="1984299"/>
          </a:xfrm>
        </xdr:grpSpPr>
        <xdr:sp macro="" textlink="">
          <xdr:nvSpPr>
            <xdr:cNvPr id="64" name="Google Shape;409;p2">
              <a:extLst>
                <a:ext uri="{FF2B5EF4-FFF2-40B4-BE49-F238E27FC236}">
                  <a16:creationId xmlns:a16="http://schemas.microsoft.com/office/drawing/2014/main" id="{C07C7820-062A-CE71-17DA-A6444E372835}"/>
                </a:ext>
              </a:extLst>
            </xdr:cNvPr>
            <xdr:cNvSpPr/>
          </xdr:nvSpPr>
          <xdr:spPr>
            <a:xfrm>
              <a:off x="3694764" y="3043835"/>
              <a:ext cx="745568" cy="588429"/>
            </a:xfrm>
            <a:prstGeom prst="rect">
              <a:avLst/>
            </a:prstGeom>
            <a:blipFill rotWithShape="1">
              <a:blip xmlns:r="http://schemas.openxmlformats.org/officeDocument/2006/relationships" r:embed="rId11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 b="1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grpSp>
          <xdr:nvGrpSpPr>
            <xdr:cNvPr id="65" name="Gruppo 5">
              <a:extLst>
                <a:ext uri="{FF2B5EF4-FFF2-40B4-BE49-F238E27FC236}">
                  <a16:creationId xmlns:a16="http://schemas.microsoft.com/office/drawing/2014/main" id="{E18D7C09-E262-962E-BCBE-0BCE0E216CC7}"/>
                </a:ext>
              </a:extLst>
            </xdr:cNvPr>
            <xdr:cNvGrpSpPr/>
          </xdr:nvGrpSpPr>
          <xdr:grpSpPr>
            <a:xfrm>
              <a:off x="3288784" y="2359943"/>
              <a:ext cx="1557528" cy="1984299"/>
              <a:chOff x="3288784" y="2359944"/>
              <a:chExt cx="1343745" cy="1712371"/>
            </a:xfrm>
          </xdr:grpSpPr>
          <xdr:sp macro="" textlink="">
            <xdr:nvSpPr>
              <xdr:cNvPr id="66" name="Google Shape;934;p5">
                <a:extLst>
                  <a:ext uri="{FF2B5EF4-FFF2-40B4-BE49-F238E27FC236}">
                    <a16:creationId xmlns:a16="http://schemas.microsoft.com/office/drawing/2014/main" id="{BD0213B5-1A02-5F0E-A58A-41D59EFF87B7}"/>
                  </a:ext>
                </a:extLst>
              </xdr:cNvPr>
              <xdr:cNvSpPr txBox="1"/>
            </xdr:nvSpPr>
            <xdr:spPr>
              <a:xfrm>
                <a:off x="3288784" y="2359944"/>
                <a:ext cx="1343745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Mini Quarter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150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67" name="Gruppo 82">
                <a:extLst>
                  <a:ext uri="{FF2B5EF4-FFF2-40B4-BE49-F238E27FC236}">
                    <a16:creationId xmlns:a16="http://schemas.microsoft.com/office/drawing/2014/main" id="{1870D76A-CDB7-5A35-1A9B-BFD994B8EB6C}"/>
                  </a:ext>
                </a:extLst>
              </xdr:cNvPr>
              <xdr:cNvGrpSpPr/>
            </xdr:nvGrpSpPr>
            <xdr:grpSpPr>
              <a:xfrm>
                <a:off x="3461807" y="3649715"/>
                <a:ext cx="1104744" cy="422600"/>
                <a:chOff x="3461807" y="3649715"/>
                <a:chExt cx="787478" cy="350904"/>
              </a:xfrm>
            </xdr:grpSpPr>
            <xdr:sp macro="" textlink="">
              <xdr:nvSpPr>
                <xdr:cNvPr id="68" name="Google Shape;935;p5">
                  <a:extLst>
                    <a:ext uri="{FF2B5EF4-FFF2-40B4-BE49-F238E27FC236}">
                      <a16:creationId xmlns:a16="http://schemas.microsoft.com/office/drawing/2014/main" id="{78E504EF-5145-D55E-A1F7-B3BF0D9A4864}"/>
                    </a:ext>
                  </a:extLst>
                </xdr:cNvPr>
                <xdr:cNvSpPr txBox="1"/>
              </xdr:nvSpPr>
              <xdr:spPr>
                <a:xfrm>
                  <a:off x="3461807" y="3649715"/>
                  <a:ext cx="787478" cy="35090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69" name="Google Shape;936;p5">
                  <a:extLst>
                    <a:ext uri="{FF2B5EF4-FFF2-40B4-BE49-F238E27FC236}">
                      <a16:creationId xmlns:a16="http://schemas.microsoft.com/office/drawing/2014/main" id="{218EA2A2-B30A-0CBF-0F7F-ECD25CF50EFA}"/>
                    </a:ext>
                  </a:extLst>
                </xdr:cNvPr>
                <xdr:cNvSpPr txBox="1"/>
              </xdr:nvSpPr>
              <xdr:spPr>
                <a:xfrm>
                  <a:off x="3628619" y="3653965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80cm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100cm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</xdr:grpSp>
      <xdr:grpSp>
        <xdr:nvGrpSpPr>
          <xdr:cNvPr id="70" name="Grupo 76">
            <a:extLst>
              <a:ext uri="{FF2B5EF4-FFF2-40B4-BE49-F238E27FC236}">
                <a16:creationId xmlns:a16="http://schemas.microsoft.com/office/drawing/2014/main" id="{71320B04-9AB9-0A3E-D602-8152D6939B11}"/>
              </a:ext>
            </a:extLst>
          </xdr:cNvPr>
          <xdr:cNvGrpSpPr/>
        </xdr:nvGrpSpPr>
        <xdr:grpSpPr>
          <a:xfrm>
            <a:off x="4819984" y="2359943"/>
            <a:ext cx="1323303" cy="2086405"/>
            <a:chOff x="4819984" y="2359943"/>
            <a:chExt cx="1557528" cy="1984299"/>
          </a:xfrm>
        </xdr:grpSpPr>
        <xdr:grpSp>
          <xdr:nvGrpSpPr>
            <xdr:cNvPr id="71" name="Gruppo 5">
              <a:extLst>
                <a:ext uri="{FF2B5EF4-FFF2-40B4-BE49-F238E27FC236}">
                  <a16:creationId xmlns:a16="http://schemas.microsoft.com/office/drawing/2014/main" id="{32C48079-A9DC-A14B-472F-AE71A9223447}"/>
                </a:ext>
              </a:extLst>
            </xdr:cNvPr>
            <xdr:cNvGrpSpPr/>
          </xdr:nvGrpSpPr>
          <xdr:grpSpPr>
            <a:xfrm>
              <a:off x="4819984" y="2359943"/>
              <a:ext cx="1557528" cy="1984299"/>
              <a:chOff x="4819984" y="2359944"/>
              <a:chExt cx="1343745" cy="1712371"/>
            </a:xfrm>
          </xdr:grpSpPr>
          <xdr:sp macro="" textlink="">
            <xdr:nvSpPr>
              <xdr:cNvPr id="72" name="Google Shape;934;p5">
                <a:extLst>
                  <a:ext uri="{FF2B5EF4-FFF2-40B4-BE49-F238E27FC236}">
                    <a16:creationId xmlns:a16="http://schemas.microsoft.com/office/drawing/2014/main" id="{1DC95183-A65D-BC5A-CF78-831EA22EAF81}"/>
                  </a:ext>
                </a:extLst>
              </xdr:cNvPr>
              <xdr:cNvSpPr txBox="1"/>
            </xdr:nvSpPr>
            <xdr:spPr>
              <a:xfrm>
                <a:off x="4819984" y="2359944"/>
                <a:ext cx="1343745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Mini Quarter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150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73" name="Gruppo 82">
                <a:extLst>
                  <a:ext uri="{FF2B5EF4-FFF2-40B4-BE49-F238E27FC236}">
                    <a16:creationId xmlns:a16="http://schemas.microsoft.com/office/drawing/2014/main" id="{31741747-A82D-3854-42C4-270363EE26AC}"/>
                  </a:ext>
                </a:extLst>
              </xdr:cNvPr>
              <xdr:cNvGrpSpPr/>
            </xdr:nvGrpSpPr>
            <xdr:grpSpPr>
              <a:xfrm>
                <a:off x="4993007" y="3649715"/>
                <a:ext cx="1104744" cy="422600"/>
                <a:chOff x="4993007" y="3649715"/>
                <a:chExt cx="787478" cy="350904"/>
              </a:xfrm>
            </xdr:grpSpPr>
            <xdr:sp macro="" textlink="">
              <xdr:nvSpPr>
                <xdr:cNvPr id="74" name="Google Shape;935;p5">
                  <a:extLst>
                    <a:ext uri="{FF2B5EF4-FFF2-40B4-BE49-F238E27FC236}">
                      <a16:creationId xmlns:a16="http://schemas.microsoft.com/office/drawing/2014/main" id="{F571E2B0-2C64-E084-8FAF-31507151374B}"/>
                    </a:ext>
                  </a:extLst>
                </xdr:cNvPr>
                <xdr:cNvSpPr txBox="1"/>
              </xdr:nvSpPr>
              <xdr:spPr>
                <a:xfrm>
                  <a:off x="4993007" y="3649715"/>
                  <a:ext cx="787478" cy="35090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75" name="Google Shape;936;p5">
                  <a:extLst>
                    <a:ext uri="{FF2B5EF4-FFF2-40B4-BE49-F238E27FC236}">
                      <a16:creationId xmlns:a16="http://schemas.microsoft.com/office/drawing/2014/main" id="{5E823934-FA21-93C3-9A15-10A3E9792AC0}"/>
                    </a:ext>
                  </a:extLst>
                </xdr:cNvPr>
                <xdr:cNvSpPr txBox="1"/>
              </xdr:nvSpPr>
              <xdr:spPr>
                <a:xfrm>
                  <a:off x="5159819" y="3653965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80cm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60cm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133" name="Google Shape;409;p2">
              <a:extLst>
                <a:ext uri="{FF2B5EF4-FFF2-40B4-BE49-F238E27FC236}">
                  <a16:creationId xmlns:a16="http://schemas.microsoft.com/office/drawing/2014/main" id="{D0046211-6F53-321F-8D3E-2A0EDAEB39D0}"/>
                </a:ext>
              </a:extLst>
            </xdr:cNvPr>
            <xdr:cNvSpPr/>
          </xdr:nvSpPr>
          <xdr:spPr>
            <a:xfrm>
              <a:off x="5248025" y="2886371"/>
              <a:ext cx="649260" cy="794814"/>
            </a:xfrm>
            <a:prstGeom prst="rect">
              <a:avLst/>
            </a:prstGeom>
            <a:blipFill rotWithShape="1">
              <a:blip xmlns:r="http://schemas.openxmlformats.org/officeDocument/2006/relationships" r:embed="rId11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 b="1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</xdr:grpSp>
    <xdr:clientData/>
  </xdr:twoCellAnchor>
  <xdr:twoCellAnchor editAs="oneCell">
    <xdr:from>
      <xdr:col>11</xdr:col>
      <xdr:colOff>0</xdr:colOff>
      <xdr:row>55</xdr:row>
      <xdr:rowOff>0</xdr:rowOff>
    </xdr:from>
    <xdr:to>
      <xdr:col>14</xdr:col>
      <xdr:colOff>128649</xdr:colOff>
      <xdr:row>59</xdr:row>
      <xdr:rowOff>92562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9F19F6E-8484-D6B1-6E85-C0A750F50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507941" y="11373971"/>
          <a:ext cx="2448267" cy="8097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730252</xdr:colOff>
      <xdr:row>5</xdr:row>
      <xdr:rowOff>63500</xdr:rowOff>
    </xdr:from>
    <xdr:to>
      <xdr:col>6</xdr:col>
      <xdr:colOff>381000</xdr:colOff>
      <xdr:row>6</xdr:row>
      <xdr:rowOff>116418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C69E69F-3BB8-45AB-89F4-B1F03733B430}"/>
            </a:ext>
          </a:extLst>
        </xdr:cNvPr>
        <xdr:cNvSpPr txBox="1"/>
      </xdr:nvSpPr>
      <xdr:spPr>
        <a:xfrm>
          <a:off x="1312335" y="1217083"/>
          <a:ext cx="2455332" cy="317502"/>
        </a:xfrm>
        <a:prstGeom prst="rect">
          <a:avLst/>
        </a:prstGeom>
        <a:noFill/>
        <a:ln w="9525" cmpd="sng">
          <a:solidFill>
            <a:schemeClr val="bg1"/>
          </a:solidFill>
          <a:prstDash val="sysDash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400" b="1">
              <a:solidFill>
                <a:srgbClr val="00B050"/>
              </a:solidFill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Tarifa Servicio</a:t>
          </a:r>
          <a:r>
            <a:rPr lang="es-ES" sz="1400" b="1" baseline="0">
              <a:solidFill>
                <a:srgbClr val="00B050"/>
              </a:solidFill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 Economy</a:t>
          </a:r>
          <a:endParaRPr lang="es-ES" sz="1400" b="1">
            <a:solidFill>
              <a:srgbClr val="00B050"/>
            </a:solidFill>
            <a:latin typeface="Arial" panose="020B0604020202020204" pitchFamily="34" charset="0"/>
            <a:ea typeface="Verdan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222252</xdr:colOff>
      <xdr:row>3</xdr:row>
      <xdr:rowOff>116415</xdr:rowOff>
    </xdr:from>
    <xdr:to>
      <xdr:col>15</xdr:col>
      <xdr:colOff>444500</xdr:colOff>
      <xdr:row>5</xdr:row>
      <xdr:rowOff>201083</xdr:rowOff>
    </xdr:to>
    <xdr:grpSp>
      <xdr:nvGrpSpPr>
        <xdr:cNvPr id="64" name="Gruppo 174">
          <a:extLst>
            <a:ext uri="{FF2B5EF4-FFF2-40B4-BE49-F238E27FC236}">
              <a16:creationId xmlns:a16="http://schemas.microsoft.com/office/drawing/2014/main" id="{C386F361-6C7F-49DA-9444-E13439D98E65}"/>
            </a:ext>
          </a:extLst>
        </xdr:cNvPr>
        <xdr:cNvGrpSpPr/>
      </xdr:nvGrpSpPr>
      <xdr:grpSpPr>
        <a:xfrm>
          <a:off x="9821335" y="730248"/>
          <a:ext cx="973665" cy="624418"/>
          <a:chOff x="2751138" y="5951538"/>
          <a:chExt cx="1349375" cy="815975"/>
        </a:xfrm>
        <a:solidFill>
          <a:srgbClr val="75BF42"/>
        </a:solidFill>
      </xdr:grpSpPr>
      <xdr:sp macro="" textlink="">
        <xdr:nvSpPr>
          <xdr:cNvPr id="65" name="Freeform 50">
            <a:extLst>
              <a:ext uri="{FF2B5EF4-FFF2-40B4-BE49-F238E27FC236}">
                <a16:creationId xmlns:a16="http://schemas.microsoft.com/office/drawing/2014/main" id="{BAE5A293-D1DC-2CEA-844D-884E0C24DB3D}"/>
              </a:ext>
            </a:extLst>
          </xdr:cNvPr>
          <xdr:cNvSpPr>
            <a:spLocks noChangeArrowheads="1"/>
          </xdr:cNvSpPr>
        </xdr:nvSpPr>
        <xdr:spPr bwMode="auto">
          <a:xfrm>
            <a:off x="3376613" y="6238875"/>
            <a:ext cx="723900" cy="528638"/>
          </a:xfrm>
          <a:custGeom>
            <a:avLst/>
            <a:gdLst>
              <a:gd name="T0" fmla="*/ 1999 w 2011"/>
              <a:gd name="T1" fmla="*/ 0 h 1469"/>
              <a:gd name="T2" fmla="*/ 1999 w 2011"/>
              <a:gd name="T3" fmla="*/ 0 h 1469"/>
              <a:gd name="T4" fmla="*/ 11 w 2011"/>
              <a:gd name="T5" fmla="*/ 978 h 1469"/>
              <a:gd name="T6" fmla="*/ 0 w 2011"/>
              <a:gd name="T7" fmla="*/ 988 h 1469"/>
              <a:gd name="T8" fmla="*/ 0 w 2011"/>
              <a:gd name="T9" fmla="*/ 1457 h 1469"/>
              <a:gd name="T10" fmla="*/ 0 w 2011"/>
              <a:gd name="T11" fmla="*/ 1468 h 1469"/>
              <a:gd name="T12" fmla="*/ 11 w 2011"/>
              <a:gd name="T13" fmla="*/ 1468 h 1469"/>
              <a:gd name="T14" fmla="*/ 11 w 2011"/>
              <a:gd name="T15" fmla="*/ 1468 h 1469"/>
              <a:gd name="T16" fmla="*/ 156 w 2011"/>
              <a:gd name="T17" fmla="*/ 1395 h 1469"/>
              <a:gd name="T18" fmla="*/ 156 w 2011"/>
              <a:gd name="T19" fmla="*/ 1395 h 1469"/>
              <a:gd name="T20" fmla="*/ 156 w 2011"/>
              <a:gd name="T21" fmla="*/ 1145 h 1469"/>
              <a:gd name="T22" fmla="*/ 187 w 2011"/>
              <a:gd name="T23" fmla="*/ 1103 h 1469"/>
              <a:gd name="T24" fmla="*/ 885 w 2011"/>
              <a:gd name="T25" fmla="*/ 759 h 1469"/>
              <a:gd name="T26" fmla="*/ 927 w 2011"/>
              <a:gd name="T27" fmla="*/ 759 h 1469"/>
              <a:gd name="T28" fmla="*/ 947 w 2011"/>
              <a:gd name="T29" fmla="*/ 801 h 1469"/>
              <a:gd name="T30" fmla="*/ 947 w 2011"/>
              <a:gd name="T31" fmla="*/ 999 h 1469"/>
              <a:gd name="T32" fmla="*/ 947 w 2011"/>
              <a:gd name="T33" fmla="*/ 999 h 1469"/>
              <a:gd name="T34" fmla="*/ 958 w 2011"/>
              <a:gd name="T35" fmla="*/ 999 h 1469"/>
              <a:gd name="T36" fmla="*/ 1124 w 2011"/>
              <a:gd name="T37" fmla="*/ 915 h 1469"/>
              <a:gd name="T38" fmla="*/ 1135 w 2011"/>
              <a:gd name="T39" fmla="*/ 915 h 1469"/>
              <a:gd name="T40" fmla="*/ 1135 w 2011"/>
              <a:gd name="T41" fmla="*/ 665 h 1469"/>
              <a:gd name="T42" fmla="*/ 1156 w 2011"/>
              <a:gd name="T43" fmla="*/ 624 h 1469"/>
              <a:gd name="T44" fmla="*/ 1791 w 2011"/>
              <a:gd name="T45" fmla="*/ 312 h 1469"/>
              <a:gd name="T46" fmla="*/ 1833 w 2011"/>
              <a:gd name="T47" fmla="*/ 312 h 1469"/>
              <a:gd name="T48" fmla="*/ 1854 w 2011"/>
              <a:gd name="T49" fmla="*/ 353 h 1469"/>
              <a:gd name="T50" fmla="*/ 1854 w 2011"/>
              <a:gd name="T51" fmla="*/ 551 h 1469"/>
              <a:gd name="T52" fmla="*/ 1864 w 2011"/>
              <a:gd name="T53" fmla="*/ 551 h 1469"/>
              <a:gd name="T54" fmla="*/ 1864 w 2011"/>
              <a:gd name="T55" fmla="*/ 551 h 1469"/>
              <a:gd name="T56" fmla="*/ 2010 w 2011"/>
              <a:gd name="T57" fmla="*/ 488 h 1469"/>
              <a:gd name="T58" fmla="*/ 2010 w 2011"/>
              <a:gd name="T59" fmla="*/ 478 h 1469"/>
              <a:gd name="T60" fmla="*/ 2010 w 2011"/>
              <a:gd name="T61" fmla="*/ 10 h 1469"/>
              <a:gd name="T62" fmla="*/ 2010 w 2011"/>
              <a:gd name="T63" fmla="*/ 0 h 1469"/>
              <a:gd name="T64" fmla="*/ 1999 w 2011"/>
              <a:gd name="T65" fmla="*/ 0 h 14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2011" h="1469">
                <a:moveTo>
                  <a:pt x="1999" y="0"/>
                </a:moveTo>
                <a:lnTo>
                  <a:pt x="1999" y="0"/>
                </a:lnTo>
                <a:cubicBezTo>
                  <a:pt x="11" y="978"/>
                  <a:pt x="11" y="978"/>
                  <a:pt x="11" y="978"/>
                </a:cubicBezTo>
                <a:cubicBezTo>
                  <a:pt x="0" y="978"/>
                  <a:pt x="0" y="988"/>
                  <a:pt x="0" y="988"/>
                </a:cubicBezTo>
                <a:cubicBezTo>
                  <a:pt x="0" y="1457"/>
                  <a:pt x="0" y="1457"/>
                  <a:pt x="0" y="1457"/>
                </a:cubicBezTo>
                <a:cubicBezTo>
                  <a:pt x="0" y="1468"/>
                  <a:pt x="0" y="1468"/>
                  <a:pt x="0" y="1468"/>
                </a:cubicBezTo>
                <a:cubicBezTo>
                  <a:pt x="11" y="1468"/>
                  <a:pt x="11" y="1468"/>
                  <a:pt x="11" y="1468"/>
                </a:cubicBezTo>
                <a:lnTo>
                  <a:pt x="11" y="1468"/>
                </a:lnTo>
                <a:cubicBezTo>
                  <a:pt x="156" y="1395"/>
                  <a:pt x="156" y="1395"/>
                  <a:pt x="156" y="1395"/>
                </a:cubicBezTo>
                <a:lnTo>
                  <a:pt x="156" y="1395"/>
                </a:lnTo>
                <a:cubicBezTo>
                  <a:pt x="156" y="1145"/>
                  <a:pt x="156" y="1145"/>
                  <a:pt x="156" y="1145"/>
                </a:cubicBezTo>
                <a:cubicBezTo>
                  <a:pt x="156" y="1124"/>
                  <a:pt x="166" y="1113"/>
                  <a:pt x="187" y="1103"/>
                </a:cubicBezTo>
                <a:cubicBezTo>
                  <a:pt x="885" y="759"/>
                  <a:pt x="885" y="759"/>
                  <a:pt x="885" y="759"/>
                </a:cubicBezTo>
                <a:cubicBezTo>
                  <a:pt x="895" y="749"/>
                  <a:pt x="916" y="749"/>
                  <a:pt x="927" y="759"/>
                </a:cubicBezTo>
                <a:cubicBezTo>
                  <a:pt x="937" y="770"/>
                  <a:pt x="947" y="790"/>
                  <a:pt x="947" y="801"/>
                </a:cubicBezTo>
                <a:cubicBezTo>
                  <a:pt x="947" y="999"/>
                  <a:pt x="947" y="999"/>
                  <a:pt x="947" y="999"/>
                </a:cubicBezTo>
                <a:lnTo>
                  <a:pt x="947" y="999"/>
                </a:lnTo>
                <a:lnTo>
                  <a:pt x="958" y="999"/>
                </a:lnTo>
                <a:cubicBezTo>
                  <a:pt x="1124" y="915"/>
                  <a:pt x="1124" y="915"/>
                  <a:pt x="1124" y="915"/>
                </a:cubicBezTo>
                <a:lnTo>
                  <a:pt x="1135" y="915"/>
                </a:lnTo>
                <a:cubicBezTo>
                  <a:pt x="1135" y="665"/>
                  <a:pt x="1135" y="665"/>
                  <a:pt x="1135" y="665"/>
                </a:cubicBezTo>
                <a:cubicBezTo>
                  <a:pt x="1135" y="645"/>
                  <a:pt x="1145" y="624"/>
                  <a:pt x="1156" y="624"/>
                </a:cubicBezTo>
                <a:cubicBezTo>
                  <a:pt x="1791" y="312"/>
                  <a:pt x="1791" y="312"/>
                  <a:pt x="1791" y="312"/>
                </a:cubicBezTo>
                <a:cubicBezTo>
                  <a:pt x="1802" y="302"/>
                  <a:pt x="1822" y="302"/>
                  <a:pt x="1833" y="312"/>
                </a:cubicBezTo>
                <a:cubicBezTo>
                  <a:pt x="1854" y="323"/>
                  <a:pt x="1854" y="332"/>
                  <a:pt x="1854" y="353"/>
                </a:cubicBezTo>
                <a:cubicBezTo>
                  <a:pt x="1854" y="551"/>
                  <a:pt x="1854" y="551"/>
                  <a:pt x="1854" y="551"/>
                </a:cubicBezTo>
                <a:cubicBezTo>
                  <a:pt x="1854" y="551"/>
                  <a:pt x="1854" y="551"/>
                  <a:pt x="1864" y="551"/>
                </a:cubicBezTo>
                <a:cubicBezTo>
                  <a:pt x="1864" y="561"/>
                  <a:pt x="1864" y="561"/>
                  <a:pt x="1864" y="551"/>
                </a:cubicBezTo>
                <a:cubicBezTo>
                  <a:pt x="2010" y="488"/>
                  <a:pt x="2010" y="488"/>
                  <a:pt x="2010" y="488"/>
                </a:cubicBezTo>
                <a:lnTo>
                  <a:pt x="2010" y="478"/>
                </a:lnTo>
                <a:cubicBezTo>
                  <a:pt x="2010" y="10"/>
                  <a:pt x="2010" y="10"/>
                  <a:pt x="2010" y="10"/>
                </a:cubicBezTo>
                <a:lnTo>
                  <a:pt x="2010" y="0"/>
                </a:lnTo>
                <a:lnTo>
                  <a:pt x="1999" y="0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66" name="Freeform 51">
            <a:extLst>
              <a:ext uri="{FF2B5EF4-FFF2-40B4-BE49-F238E27FC236}">
                <a16:creationId xmlns:a16="http://schemas.microsoft.com/office/drawing/2014/main" id="{ECFBC076-7B3A-8360-8284-80D73F5639CC}"/>
              </a:ext>
            </a:extLst>
          </xdr:cNvPr>
          <xdr:cNvSpPr>
            <a:spLocks noChangeArrowheads="1"/>
          </xdr:cNvSpPr>
        </xdr:nvSpPr>
        <xdr:spPr bwMode="auto">
          <a:xfrm>
            <a:off x="2776538" y="5951538"/>
            <a:ext cx="814387" cy="398462"/>
          </a:xfrm>
          <a:custGeom>
            <a:avLst/>
            <a:gdLst>
              <a:gd name="T0" fmla="*/ 0 w 2260"/>
              <a:gd name="T1" fmla="*/ 979 h 1105"/>
              <a:gd name="T2" fmla="*/ 0 w 2260"/>
              <a:gd name="T3" fmla="*/ 979 h 1105"/>
              <a:gd name="T4" fmla="*/ 0 w 2260"/>
              <a:gd name="T5" fmla="*/ 979 h 1105"/>
              <a:gd name="T6" fmla="*/ 271 w 2260"/>
              <a:gd name="T7" fmla="*/ 1104 h 1105"/>
              <a:gd name="T8" fmla="*/ 271 w 2260"/>
              <a:gd name="T9" fmla="*/ 1104 h 1105"/>
              <a:gd name="T10" fmla="*/ 281 w 2260"/>
              <a:gd name="T11" fmla="*/ 1104 h 1105"/>
              <a:gd name="T12" fmla="*/ 2249 w 2260"/>
              <a:gd name="T13" fmla="*/ 125 h 1105"/>
              <a:gd name="T14" fmla="*/ 2259 w 2260"/>
              <a:gd name="T15" fmla="*/ 125 h 1105"/>
              <a:gd name="T16" fmla="*/ 2249 w 2260"/>
              <a:gd name="T17" fmla="*/ 114 h 1105"/>
              <a:gd name="T18" fmla="*/ 1988 w 2260"/>
              <a:gd name="T19" fmla="*/ 0 h 1105"/>
              <a:gd name="T20" fmla="*/ 1978 w 2260"/>
              <a:gd name="T21" fmla="*/ 0 h 1105"/>
              <a:gd name="T22" fmla="*/ 0 w 2260"/>
              <a:gd name="T23" fmla="*/ 968 h 1105"/>
              <a:gd name="T24" fmla="*/ 0 w 2260"/>
              <a:gd name="T25" fmla="*/ 979 h 1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2260" h="1105">
                <a:moveTo>
                  <a:pt x="0" y="979"/>
                </a:moveTo>
                <a:lnTo>
                  <a:pt x="0" y="979"/>
                </a:lnTo>
                <a:lnTo>
                  <a:pt x="0" y="979"/>
                </a:lnTo>
                <a:cubicBezTo>
                  <a:pt x="271" y="1104"/>
                  <a:pt x="271" y="1104"/>
                  <a:pt x="271" y="1104"/>
                </a:cubicBezTo>
                <a:lnTo>
                  <a:pt x="271" y="1104"/>
                </a:lnTo>
                <a:cubicBezTo>
                  <a:pt x="271" y="1104"/>
                  <a:pt x="271" y="1104"/>
                  <a:pt x="281" y="1104"/>
                </a:cubicBezTo>
                <a:cubicBezTo>
                  <a:pt x="2249" y="125"/>
                  <a:pt x="2249" y="125"/>
                  <a:pt x="2249" y="125"/>
                </a:cubicBezTo>
                <a:cubicBezTo>
                  <a:pt x="2259" y="125"/>
                  <a:pt x="2259" y="125"/>
                  <a:pt x="2259" y="125"/>
                </a:cubicBezTo>
                <a:cubicBezTo>
                  <a:pt x="2259" y="125"/>
                  <a:pt x="2259" y="114"/>
                  <a:pt x="2249" y="114"/>
                </a:cubicBezTo>
                <a:cubicBezTo>
                  <a:pt x="1988" y="0"/>
                  <a:pt x="1988" y="0"/>
                  <a:pt x="1988" y="0"/>
                </a:cubicBezTo>
                <a:cubicBezTo>
                  <a:pt x="1978" y="0"/>
                  <a:pt x="1978" y="0"/>
                  <a:pt x="1978" y="0"/>
                </a:cubicBezTo>
                <a:cubicBezTo>
                  <a:pt x="0" y="968"/>
                  <a:pt x="0" y="968"/>
                  <a:pt x="0" y="968"/>
                </a:cubicBezTo>
                <a:cubicBezTo>
                  <a:pt x="0" y="968"/>
                  <a:pt x="0" y="968"/>
                  <a:pt x="0" y="979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67" name="Freeform 52">
            <a:extLst>
              <a:ext uri="{FF2B5EF4-FFF2-40B4-BE49-F238E27FC236}">
                <a16:creationId xmlns:a16="http://schemas.microsoft.com/office/drawing/2014/main" id="{8672B2C2-141B-B734-D6A3-E15BE94CFEA6}"/>
              </a:ext>
            </a:extLst>
          </xdr:cNvPr>
          <xdr:cNvSpPr>
            <a:spLocks noChangeArrowheads="1"/>
          </xdr:cNvSpPr>
        </xdr:nvSpPr>
        <xdr:spPr bwMode="auto">
          <a:xfrm>
            <a:off x="3230563" y="6153150"/>
            <a:ext cx="844550" cy="412750"/>
          </a:xfrm>
          <a:custGeom>
            <a:avLst/>
            <a:gdLst>
              <a:gd name="T0" fmla="*/ 1978 w 2344"/>
              <a:gd name="T1" fmla="*/ 0 h 1146"/>
              <a:gd name="T2" fmla="*/ 1978 w 2344"/>
              <a:gd name="T3" fmla="*/ 0 h 1146"/>
              <a:gd name="T4" fmla="*/ 0 w 2344"/>
              <a:gd name="T5" fmla="*/ 968 h 1146"/>
              <a:gd name="T6" fmla="*/ 0 w 2344"/>
              <a:gd name="T7" fmla="*/ 978 h 1146"/>
              <a:gd name="T8" fmla="*/ 0 w 2344"/>
              <a:gd name="T9" fmla="*/ 978 h 1146"/>
              <a:gd name="T10" fmla="*/ 354 w 2344"/>
              <a:gd name="T11" fmla="*/ 1145 h 1146"/>
              <a:gd name="T12" fmla="*/ 365 w 2344"/>
              <a:gd name="T13" fmla="*/ 1145 h 1146"/>
              <a:gd name="T14" fmla="*/ 365 w 2344"/>
              <a:gd name="T15" fmla="*/ 1145 h 1146"/>
              <a:gd name="T16" fmla="*/ 2343 w 2344"/>
              <a:gd name="T17" fmla="*/ 167 h 1146"/>
              <a:gd name="T18" fmla="*/ 2343 w 2344"/>
              <a:gd name="T19" fmla="*/ 167 h 1146"/>
              <a:gd name="T20" fmla="*/ 2343 w 2344"/>
              <a:gd name="T21" fmla="*/ 156 h 1146"/>
              <a:gd name="T22" fmla="*/ 1989 w 2344"/>
              <a:gd name="T23" fmla="*/ 0 h 1146"/>
              <a:gd name="T24" fmla="*/ 1978 w 2344"/>
              <a:gd name="T25" fmla="*/ 0 h 114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2344" h="1146">
                <a:moveTo>
                  <a:pt x="1978" y="0"/>
                </a:moveTo>
                <a:lnTo>
                  <a:pt x="1978" y="0"/>
                </a:lnTo>
                <a:cubicBezTo>
                  <a:pt x="0" y="968"/>
                  <a:pt x="0" y="968"/>
                  <a:pt x="0" y="968"/>
                </a:cubicBezTo>
                <a:lnTo>
                  <a:pt x="0" y="978"/>
                </a:lnTo>
                <a:lnTo>
                  <a:pt x="0" y="978"/>
                </a:lnTo>
                <a:cubicBezTo>
                  <a:pt x="354" y="1145"/>
                  <a:pt x="354" y="1145"/>
                  <a:pt x="354" y="1145"/>
                </a:cubicBezTo>
                <a:lnTo>
                  <a:pt x="365" y="1145"/>
                </a:lnTo>
                <a:lnTo>
                  <a:pt x="365" y="1145"/>
                </a:lnTo>
                <a:cubicBezTo>
                  <a:pt x="2343" y="167"/>
                  <a:pt x="2343" y="167"/>
                  <a:pt x="2343" y="167"/>
                </a:cubicBezTo>
                <a:lnTo>
                  <a:pt x="2343" y="167"/>
                </a:lnTo>
                <a:lnTo>
                  <a:pt x="2343" y="156"/>
                </a:lnTo>
                <a:cubicBezTo>
                  <a:pt x="1989" y="0"/>
                  <a:pt x="1989" y="0"/>
                  <a:pt x="1989" y="0"/>
                </a:cubicBezTo>
                <a:cubicBezTo>
                  <a:pt x="1978" y="0"/>
                  <a:pt x="1978" y="0"/>
                  <a:pt x="1978" y="0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68" name="Freeform 53">
            <a:extLst>
              <a:ext uri="{FF2B5EF4-FFF2-40B4-BE49-F238E27FC236}">
                <a16:creationId xmlns:a16="http://schemas.microsoft.com/office/drawing/2014/main" id="{46C8AFB4-61B3-058F-8367-0B84F3032A87}"/>
              </a:ext>
            </a:extLst>
          </xdr:cNvPr>
          <xdr:cNvSpPr>
            <a:spLocks noChangeArrowheads="1"/>
          </xdr:cNvSpPr>
        </xdr:nvSpPr>
        <xdr:spPr bwMode="auto">
          <a:xfrm>
            <a:off x="3960813" y="6392863"/>
            <a:ext cx="49212" cy="49212"/>
          </a:xfrm>
          <a:custGeom>
            <a:avLst/>
            <a:gdLst>
              <a:gd name="T0" fmla="*/ 125 w 137"/>
              <a:gd name="T1" fmla="*/ 135 h 136"/>
              <a:gd name="T2" fmla="*/ 125 w 137"/>
              <a:gd name="T3" fmla="*/ 135 h 136"/>
              <a:gd name="T4" fmla="*/ 136 w 137"/>
              <a:gd name="T5" fmla="*/ 135 h 136"/>
              <a:gd name="T6" fmla="*/ 136 w 137"/>
              <a:gd name="T7" fmla="*/ 135 h 136"/>
              <a:gd name="T8" fmla="*/ 136 w 137"/>
              <a:gd name="T9" fmla="*/ 125 h 136"/>
              <a:gd name="T10" fmla="*/ 136 w 137"/>
              <a:gd name="T11" fmla="*/ 10 h 136"/>
              <a:gd name="T12" fmla="*/ 136 w 137"/>
              <a:gd name="T13" fmla="*/ 0 h 136"/>
              <a:gd name="T14" fmla="*/ 125 w 137"/>
              <a:gd name="T15" fmla="*/ 0 h 136"/>
              <a:gd name="T16" fmla="*/ 0 w 137"/>
              <a:gd name="T17" fmla="*/ 62 h 136"/>
              <a:gd name="T18" fmla="*/ 0 w 137"/>
              <a:gd name="T19" fmla="*/ 73 h 136"/>
              <a:gd name="T20" fmla="*/ 0 w 137"/>
              <a:gd name="T21" fmla="*/ 83 h 136"/>
              <a:gd name="T22" fmla="*/ 125 w 137"/>
              <a:gd name="T23" fmla="*/ 135 h 1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7" h="136">
                <a:moveTo>
                  <a:pt x="125" y="135"/>
                </a:moveTo>
                <a:lnTo>
                  <a:pt x="125" y="135"/>
                </a:lnTo>
                <a:cubicBezTo>
                  <a:pt x="136" y="135"/>
                  <a:pt x="136" y="135"/>
                  <a:pt x="136" y="135"/>
                </a:cubicBezTo>
                <a:lnTo>
                  <a:pt x="136" y="135"/>
                </a:lnTo>
                <a:cubicBezTo>
                  <a:pt x="136" y="135"/>
                  <a:pt x="136" y="135"/>
                  <a:pt x="136" y="125"/>
                </a:cubicBezTo>
                <a:cubicBezTo>
                  <a:pt x="136" y="10"/>
                  <a:pt x="136" y="10"/>
                  <a:pt x="136" y="10"/>
                </a:cubicBezTo>
                <a:cubicBezTo>
                  <a:pt x="136" y="10"/>
                  <a:pt x="136" y="10"/>
                  <a:pt x="136" y="0"/>
                </a:cubicBezTo>
                <a:cubicBezTo>
                  <a:pt x="136" y="0"/>
                  <a:pt x="136" y="0"/>
                  <a:pt x="125" y="0"/>
                </a:cubicBezTo>
                <a:cubicBezTo>
                  <a:pt x="0" y="62"/>
                  <a:pt x="0" y="62"/>
                  <a:pt x="0" y="62"/>
                </a:cubicBezTo>
                <a:lnTo>
                  <a:pt x="0" y="73"/>
                </a:lnTo>
                <a:cubicBezTo>
                  <a:pt x="0" y="73"/>
                  <a:pt x="0" y="73"/>
                  <a:pt x="0" y="83"/>
                </a:cubicBezTo>
                <a:lnTo>
                  <a:pt x="125" y="135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69" name="Freeform 54">
            <a:extLst>
              <a:ext uri="{FF2B5EF4-FFF2-40B4-BE49-F238E27FC236}">
                <a16:creationId xmlns:a16="http://schemas.microsoft.com/office/drawing/2014/main" id="{8527FDAA-E4F9-FACF-2F85-9377FB62DCC2}"/>
              </a:ext>
            </a:extLst>
          </xdr:cNvPr>
          <xdr:cNvSpPr>
            <a:spLocks noChangeArrowheads="1"/>
          </xdr:cNvSpPr>
        </xdr:nvSpPr>
        <xdr:spPr bwMode="auto">
          <a:xfrm>
            <a:off x="2847975" y="6483350"/>
            <a:ext cx="49213" cy="49213"/>
          </a:xfrm>
          <a:custGeom>
            <a:avLst/>
            <a:gdLst>
              <a:gd name="T0" fmla="*/ 10 w 136"/>
              <a:gd name="T1" fmla="*/ 135 h 136"/>
              <a:gd name="T2" fmla="*/ 10 w 136"/>
              <a:gd name="T3" fmla="*/ 135 h 136"/>
              <a:gd name="T4" fmla="*/ 135 w 136"/>
              <a:gd name="T5" fmla="*/ 73 h 136"/>
              <a:gd name="T6" fmla="*/ 135 w 136"/>
              <a:gd name="T7" fmla="*/ 62 h 136"/>
              <a:gd name="T8" fmla="*/ 135 w 136"/>
              <a:gd name="T9" fmla="*/ 62 h 136"/>
              <a:gd name="T10" fmla="*/ 10 w 136"/>
              <a:gd name="T11" fmla="*/ 0 h 136"/>
              <a:gd name="T12" fmla="*/ 0 w 136"/>
              <a:gd name="T13" fmla="*/ 0 h 136"/>
              <a:gd name="T14" fmla="*/ 0 w 136"/>
              <a:gd name="T15" fmla="*/ 10 h 136"/>
              <a:gd name="T16" fmla="*/ 0 w 136"/>
              <a:gd name="T17" fmla="*/ 125 h 136"/>
              <a:gd name="T18" fmla="*/ 0 w 136"/>
              <a:gd name="T19" fmla="*/ 135 h 136"/>
              <a:gd name="T20" fmla="*/ 0 w 136"/>
              <a:gd name="T21" fmla="*/ 135 h 136"/>
              <a:gd name="T22" fmla="*/ 10 w 136"/>
              <a:gd name="T23" fmla="*/ 135 h 1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6" h="136">
                <a:moveTo>
                  <a:pt x="10" y="135"/>
                </a:moveTo>
                <a:lnTo>
                  <a:pt x="10" y="135"/>
                </a:lnTo>
                <a:cubicBezTo>
                  <a:pt x="135" y="73"/>
                  <a:pt x="135" y="73"/>
                  <a:pt x="135" y="73"/>
                </a:cubicBezTo>
                <a:cubicBezTo>
                  <a:pt x="135" y="73"/>
                  <a:pt x="135" y="73"/>
                  <a:pt x="135" y="62"/>
                </a:cubicBezTo>
                <a:lnTo>
                  <a:pt x="135" y="62"/>
                </a:lnTo>
                <a:cubicBezTo>
                  <a:pt x="10" y="0"/>
                  <a:pt x="10" y="0"/>
                  <a:pt x="10" y="0"/>
                </a:cubicBezTo>
                <a:cubicBezTo>
                  <a:pt x="0" y="0"/>
                  <a:pt x="0" y="0"/>
                  <a:pt x="0" y="0"/>
                </a:cubicBezTo>
                <a:lnTo>
                  <a:pt x="0" y="10"/>
                </a:lnTo>
                <a:cubicBezTo>
                  <a:pt x="0" y="125"/>
                  <a:pt x="0" y="125"/>
                  <a:pt x="0" y="125"/>
                </a:cubicBezTo>
                <a:cubicBezTo>
                  <a:pt x="0" y="135"/>
                  <a:pt x="0" y="135"/>
                  <a:pt x="0" y="135"/>
                </a:cubicBezTo>
                <a:lnTo>
                  <a:pt x="0" y="135"/>
                </a:lnTo>
                <a:lnTo>
                  <a:pt x="10" y="135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70" name="Freeform 55">
            <a:extLst>
              <a:ext uri="{FF2B5EF4-FFF2-40B4-BE49-F238E27FC236}">
                <a16:creationId xmlns:a16="http://schemas.microsoft.com/office/drawing/2014/main" id="{DE0DCAC2-E3B1-6471-E3C2-BB07AA20A572}"/>
              </a:ext>
            </a:extLst>
          </xdr:cNvPr>
          <xdr:cNvSpPr>
            <a:spLocks noChangeArrowheads="1"/>
          </xdr:cNvSpPr>
        </xdr:nvSpPr>
        <xdr:spPr bwMode="auto">
          <a:xfrm>
            <a:off x="3068638" y="6081713"/>
            <a:ext cx="833437" cy="404812"/>
          </a:xfrm>
          <a:custGeom>
            <a:avLst/>
            <a:gdLst>
              <a:gd name="T0" fmla="*/ 0 w 2313"/>
              <a:gd name="T1" fmla="*/ 978 h 1125"/>
              <a:gd name="T2" fmla="*/ 0 w 2313"/>
              <a:gd name="T3" fmla="*/ 978 h 1125"/>
              <a:gd name="T4" fmla="*/ 323 w 2313"/>
              <a:gd name="T5" fmla="*/ 1124 h 1125"/>
              <a:gd name="T6" fmla="*/ 323 w 2313"/>
              <a:gd name="T7" fmla="*/ 1124 h 1125"/>
              <a:gd name="T8" fmla="*/ 334 w 2313"/>
              <a:gd name="T9" fmla="*/ 1124 h 1125"/>
              <a:gd name="T10" fmla="*/ 2301 w 2313"/>
              <a:gd name="T11" fmla="*/ 157 h 1125"/>
              <a:gd name="T12" fmla="*/ 2312 w 2313"/>
              <a:gd name="T13" fmla="*/ 146 h 1125"/>
              <a:gd name="T14" fmla="*/ 2301 w 2313"/>
              <a:gd name="T15" fmla="*/ 136 h 1125"/>
              <a:gd name="T16" fmla="*/ 1989 w 2313"/>
              <a:gd name="T17" fmla="*/ 0 h 1125"/>
              <a:gd name="T18" fmla="*/ 1978 w 2313"/>
              <a:gd name="T19" fmla="*/ 0 h 1125"/>
              <a:gd name="T20" fmla="*/ 0 w 2313"/>
              <a:gd name="T21" fmla="*/ 968 h 1125"/>
              <a:gd name="T22" fmla="*/ 0 w 2313"/>
              <a:gd name="T23" fmla="*/ 978 h 11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2313" h="1125">
                <a:moveTo>
                  <a:pt x="0" y="978"/>
                </a:moveTo>
                <a:lnTo>
                  <a:pt x="0" y="978"/>
                </a:lnTo>
                <a:cubicBezTo>
                  <a:pt x="323" y="1124"/>
                  <a:pt x="323" y="1124"/>
                  <a:pt x="323" y="1124"/>
                </a:cubicBezTo>
                <a:lnTo>
                  <a:pt x="323" y="1124"/>
                </a:lnTo>
                <a:cubicBezTo>
                  <a:pt x="323" y="1124"/>
                  <a:pt x="323" y="1124"/>
                  <a:pt x="334" y="1124"/>
                </a:cubicBezTo>
                <a:cubicBezTo>
                  <a:pt x="2301" y="157"/>
                  <a:pt x="2301" y="157"/>
                  <a:pt x="2301" y="157"/>
                </a:cubicBezTo>
                <a:cubicBezTo>
                  <a:pt x="2312" y="146"/>
                  <a:pt x="2312" y="146"/>
                  <a:pt x="2312" y="146"/>
                </a:cubicBezTo>
                <a:cubicBezTo>
                  <a:pt x="2312" y="146"/>
                  <a:pt x="2312" y="136"/>
                  <a:pt x="2301" y="136"/>
                </a:cubicBezTo>
                <a:cubicBezTo>
                  <a:pt x="1989" y="0"/>
                  <a:pt x="1989" y="0"/>
                  <a:pt x="1989" y="0"/>
                </a:cubicBezTo>
                <a:lnTo>
                  <a:pt x="1978" y="0"/>
                </a:lnTo>
                <a:cubicBezTo>
                  <a:pt x="0" y="968"/>
                  <a:pt x="0" y="968"/>
                  <a:pt x="0" y="968"/>
                </a:cubicBezTo>
                <a:cubicBezTo>
                  <a:pt x="0" y="968"/>
                  <a:pt x="0" y="968"/>
                  <a:pt x="0" y="978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71" name="Freeform 56">
            <a:extLst>
              <a:ext uri="{FF2B5EF4-FFF2-40B4-BE49-F238E27FC236}">
                <a16:creationId xmlns:a16="http://schemas.microsoft.com/office/drawing/2014/main" id="{85F2AB34-5E08-FF5C-3EA4-6F4490962B3A}"/>
              </a:ext>
            </a:extLst>
          </xdr:cNvPr>
          <xdr:cNvSpPr>
            <a:spLocks noChangeArrowheads="1"/>
          </xdr:cNvSpPr>
        </xdr:nvSpPr>
        <xdr:spPr bwMode="auto">
          <a:xfrm>
            <a:off x="2919413" y="6015038"/>
            <a:ext cx="820737" cy="401637"/>
          </a:xfrm>
          <a:custGeom>
            <a:avLst/>
            <a:gdLst>
              <a:gd name="T0" fmla="*/ 0 w 2281"/>
              <a:gd name="T1" fmla="*/ 978 h 1114"/>
              <a:gd name="T2" fmla="*/ 0 w 2281"/>
              <a:gd name="T3" fmla="*/ 978 h 1114"/>
              <a:gd name="T4" fmla="*/ 291 w 2281"/>
              <a:gd name="T5" fmla="*/ 1113 h 1114"/>
              <a:gd name="T6" fmla="*/ 291 w 2281"/>
              <a:gd name="T7" fmla="*/ 1113 h 1114"/>
              <a:gd name="T8" fmla="*/ 302 w 2281"/>
              <a:gd name="T9" fmla="*/ 1113 h 1114"/>
              <a:gd name="T10" fmla="*/ 2280 w 2281"/>
              <a:gd name="T11" fmla="*/ 135 h 1114"/>
              <a:gd name="T12" fmla="*/ 2280 w 2281"/>
              <a:gd name="T13" fmla="*/ 135 h 1114"/>
              <a:gd name="T14" fmla="*/ 2280 w 2281"/>
              <a:gd name="T15" fmla="*/ 125 h 1114"/>
              <a:gd name="T16" fmla="*/ 1988 w 2281"/>
              <a:gd name="T17" fmla="*/ 0 h 1114"/>
              <a:gd name="T18" fmla="*/ 1978 w 2281"/>
              <a:gd name="T19" fmla="*/ 0 h 1114"/>
              <a:gd name="T20" fmla="*/ 0 w 2281"/>
              <a:gd name="T21" fmla="*/ 968 h 1114"/>
              <a:gd name="T22" fmla="*/ 0 w 2281"/>
              <a:gd name="T23" fmla="*/ 978 h 11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2281" h="1114">
                <a:moveTo>
                  <a:pt x="0" y="978"/>
                </a:moveTo>
                <a:lnTo>
                  <a:pt x="0" y="978"/>
                </a:lnTo>
                <a:cubicBezTo>
                  <a:pt x="291" y="1113"/>
                  <a:pt x="291" y="1113"/>
                  <a:pt x="291" y="1113"/>
                </a:cubicBezTo>
                <a:lnTo>
                  <a:pt x="291" y="1113"/>
                </a:lnTo>
                <a:lnTo>
                  <a:pt x="302" y="1113"/>
                </a:lnTo>
                <a:cubicBezTo>
                  <a:pt x="2280" y="135"/>
                  <a:pt x="2280" y="135"/>
                  <a:pt x="2280" y="135"/>
                </a:cubicBezTo>
                <a:lnTo>
                  <a:pt x="2280" y="135"/>
                </a:lnTo>
                <a:lnTo>
                  <a:pt x="2280" y="125"/>
                </a:lnTo>
                <a:cubicBezTo>
                  <a:pt x="1988" y="0"/>
                  <a:pt x="1988" y="0"/>
                  <a:pt x="1988" y="0"/>
                </a:cubicBezTo>
                <a:cubicBezTo>
                  <a:pt x="1978" y="0"/>
                  <a:pt x="1978" y="0"/>
                  <a:pt x="1978" y="0"/>
                </a:cubicBezTo>
                <a:cubicBezTo>
                  <a:pt x="0" y="968"/>
                  <a:pt x="0" y="968"/>
                  <a:pt x="0" y="968"/>
                </a:cubicBezTo>
                <a:cubicBezTo>
                  <a:pt x="0" y="968"/>
                  <a:pt x="0" y="968"/>
                  <a:pt x="0" y="978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72" name="Freeform 57">
            <a:extLst>
              <a:ext uri="{FF2B5EF4-FFF2-40B4-BE49-F238E27FC236}">
                <a16:creationId xmlns:a16="http://schemas.microsoft.com/office/drawing/2014/main" id="{88CEADA5-AC45-DCB0-89E8-397AEC802569}"/>
              </a:ext>
            </a:extLst>
          </xdr:cNvPr>
          <xdr:cNvSpPr>
            <a:spLocks noChangeArrowheads="1"/>
          </xdr:cNvSpPr>
        </xdr:nvSpPr>
        <xdr:spPr bwMode="auto">
          <a:xfrm>
            <a:off x="3095625" y="6594475"/>
            <a:ext cx="52388" cy="49213"/>
          </a:xfrm>
          <a:custGeom>
            <a:avLst/>
            <a:gdLst>
              <a:gd name="T0" fmla="*/ 11 w 147"/>
              <a:gd name="T1" fmla="*/ 136 h 137"/>
              <a:gd name="T2" fmla="*/ 11 w 147"/>
              <a:gd name="T3" fmla="*/ 136 h 137"/>
              <a:gd name="T4" fmla="*/ 11 w 147"/>
              <a:gd name="T5" fmla="*/ 136 h 137"/>
              <a:gd name="T6" fmla="*/ 146 w 147"/>
              <a:gd name="T7" fmla="*/ 73 h 137"/>
              <a:gd name="T8" fmla="*/ 146 w 147"/>
              <a:gd name="T9" fmla="*/ 63 h 137"/>
              <a:gd name="T10" fmla="*/ 146 w 147"/>
              <a:gd name="T11" fmla="*/ 63 h 137"/>
              <a:gd name="T12" fmla="*/ 11 w 147"/>
              <a:gd name="T13" fmla="*/ 0 h 137"/>
              <a:gd name="T14" fmla="*/ 11 w 147"/>
              <a:gd name="T15" fmla="*/ 0 h 137"/>
              <a:gd name="T16" fmla="*/ 0 w 147"/>
              <a:gd name="T17" fmla="*/ 11 h 137"/>
              <a:gd name="T18" fmla="*/ 0 w 147"/>
              <a:gd name="T19" fmla="*/ 125 h 137"/>
              <a:gd name="T20" fmla="*/ 11 w 147"/>
              <a:gd name="T21" fmla="*/ 136 h 13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47" h="137">
                <a:moveTo>
                  <a:pt x="11" y="136"/>
                </a:moveTo>
                <a:lnTo>
                  <a:pt x="11" y="136"/>
                </a:lnTo>
                <a:lnTo>
                  <a:pt x="11" y="136"/>
                </a:lnTo>
                <a:cubicBezTo>
                  <a:pt x="146" y="73"/>
                  <a:pt x="146" y="73"/>
                  <a:pt x="146" y="73"/>
                </a:cubicBezTo>
                <a:lnTo>
                  <a:pt x="146" y="63"/>
                </a:lnTo>
                <a:lnTo>
                  <a:pt x="146" y="63"/>
                </a:lnTo>
                <a:cubicBezTo>
                  <a:pt x="11" y="0"/>
                  <a:pt x="11" y="0"/>
                  <a:pt x="11" y="0"/>
                </a:cubicBezTo>
                <a:lnTo>
                  <a:pt x="11" y="0"/>
                </a:lnTo>
                <a:cubicBezTo>
                  <a:pt x="0" y="0"/>
                  <a:pt x="0" y="0"/>
                  <a:pt x="0" y="11"/>
                </a:cubicBezTo>
                <a:cubicBezTo>
                  <a:pt x="0" y="125"/>
                  <a:pt x="0" y="125"/>
                  <a:pt x="0" y="125"/>
                </a:cubicBezTo>
                <a:lnTo>
                  <a:pt x="11" y="136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73" name="Freeform 58">
            <a:extLst>
              <a:ext uri="{FF2B5EF4-FFF2-40B4-BE49-F238E27FC236}">
                <a16:creationId xmlns:a16="http://schemas.microsoft.com/office/drawing/2014/main" id="{AD9B6F91-7474-BE36-07AB-8AA6E0E2C947}"/>
              </a:ext>
            </a:extLst>
          </xdr:cNvPr>
          <xdr:cNvSpPr>
            <a:spLocks noChangeArrowheads="1"/>
          </xdr:cNvSpPr>
        </xdr:nvSpPr>
        <xdr:spPr bwMode="auto">
          <a:xfrm>
            <a:off x="2751138" y="6329363"/>
            <a:ext cx="592137" cy="438150"/>
          </a:xfrm>
          <a:custGeom>
            <a:avLst/>
            <a:gdLst>
              <a:gd name="T0" fmla="*/ 177 w 1647"/>
              <a:gd name="T1" fmla="*/ 561 h 1219"/>
              <a:gd name="T2" fmla="*/ 177 w 1647"/>
              <a:gd name="T3" fmla="*/ 561 h 1219"/>
              <a:gd name="T4" fmla="*/ 177 w 1647"/>
              <a:gd name="T5" fmla="*/ 551 h 1219"/>
              <a:gd name="T6" fmla="*/ 177 w 1647"/>
              <a:gd name="T7" fmla="*/ 353 h 1219"/>
              <a:gd name="T8" fmla="*/ 198 w 1647"/>
              <a:gd name="T9" fmla="*/ 311 h 1219"/>
              <a:gd name="T10" fmla="*/ 239 w 1647"/>
              <a:gd name="T11" fmla="*/ 311 h 1219"/>
              <a:gd name="T12" fmla="*/ 656 w 1647"/>
              <a:gd name="T13" fmla="*/ 499 h 1219"/>
              <a:gd name="T14" fmla="*/ 687 w 1647"/>
              <a:gd name="T15" fmla="*/ 540 h 1219"/>
              <a:gd name="T16" fmla="*/ 687 w 1647"/>
              <a:gd name="T17" fmla="*/ 790 h 1219"/>
              <a:gd name="T18" fmla="*/ 687 w 1647"/>
              <a:gd name="T19" fmla="*/ 801 h 1219"/>
              <a:gd name="T20" fmla="*/ 864 w 1647"/>
              <a:gd name="T21" fmla="*/ 874 h 1219"/>
              <a:gd name="T22" fmla="*/ 864 w 1647"/>
              <a:gd name="T23" fmla="*/ 874 h 1219"/>
              <a:gd name="T24" fmla="*/ 875 w 1647"/>
              <a:gd name="T25" fmla="*/ 863 h 1219"/>
              <a:gd name="T26" fmla="*/ 864 w 1647"/>
              <a:gd name="T27" fmla="*/ 665 h 1219"/>
              <a:gd name="T28" fmla="*/ 896 w 1647"/>
              <a:gd name="T29" fmla="*/ 624 h 1219"/>
              <a:gd name="T30" fmla="*/ 937 w 1647"/>
              <a:gd name="T31" fmla="*/ 624 h 1219"/>
              <a:gd name="T32" fmla="*/ 1427 w 1647"/>
              <a:gd name="T33" fmla="*/ 843 h 1219"/>
              <a:gd name="T34" fmla="*/ 1458 w 1647"/>
              <a:gd name="T35" fmla="*/ 884 h 1219"/>
              <a:gd name="T36" fmla="*/ 1458 w 1647"/>
              <a:gd name="T37" fmla="*/ 1134 h 1219"/>
              <a:gd name="T38" fmla="*/ 1458 w 1647"/>
              <a:gd name="T39" fmla="*/ 1145 h 1219"/>
              <a:gd name="T40" fmla="*/ 1635 w 1647"/>
              <a:gd name="T41" fmla="*/ 1218 h 1219"/>
              <a:gd name="T42" fmla="*/ 1646 w 1647"/>
              <a:gd name="T43" fmla="*/ 1218 h 1219"/>
              <a:gd name="T44" fmla="*/ 1646 w 1647"/>
              <a:gd name="T45" fmla="*/ 1218 h 1219"/>
              <a:gd name="T46" fmla="*/ 1646 w 1647"/>
              <a:gd name="T47" fmla="*/ 1218 h 1219"/>
              <a:gd name="T48" fmla="*/ 1646 w 1647"/>
              <a:gd name="T49" fmla="*/ 738 h 1219"/>
              <a:gd name="T50" fmla="*/ 1646 w 1647"/>
              <a:gd name="T51" fmla="*/ 728 h 1219"/>
              <a:gd name="T52" fmla="*/ 10 w 1647"/>
              <a:gd name="T53" fmla="*/ 0 h 1219"/>
              <a:gd name="T54" fmla="*/ 0 w 1647"/>
              <a:gd name="T55" fmla="*/ 0 h 1219"/>
              <a:gd name="T56" fmla="*/ 0 w 1647"/>
              <a:gd name="T57" fmla="*/ 10 h 1219"/>
              <a:gd name="T58" fmla="*/ 0 w 1647"/>
              <a:gd name="T59" fmla="*/ 478 h 1219"/>
              <a:gd name="T60" fmla="*/ 0 w 1647"/>
              <a:gd name="T61" fmla="*/ 488 h 1219"/>
              <a:gd name="T62" fmla="*/ 167 w 1647"/>
              <a:gd name="T63" fmla="*/ 561 h 1219"/>
              <a:gd name="T64" fmla="*/ 177 w 1647"/>
              <a:gd name="T65" fmla="*/ 561 h 12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647" h="1219">
                <a:moveTo>
                  <a:pt x="177" y="561"/>
                </a:moveTo>
                <a:lnTo>
                  <a:pt x="177" y="561"/>
                </a:lnTo>
                <a:cubicBezTo>
                  <a:pt x="177" y="561"/>
                  <a:pt x="177" y="561"/>
                  <a:pt x="177" y="551"/>
                </a:cubicBezTo>
                <a:cubicBezTo>
                  <a:pt x="177" y="353"/>
                  <a:pt x="177" y="353"/>
                  <a:pt x="177" y="353"/>
                </a:cubicBezTo>
                <a:cubicBezTo>
                  <a:pt x="177" y="332"/>
                  <a:pt x="187" y="322"/>
                  <a:pt x="198" y="311"/>
                </a:cubicBezTo>
                <a:cubicBezTo>
                  <a:pt x="208" y="301"/>
                  <a:pt x="229" y="301"/>
                  <a:pt x="239" y="311"/>
                </a:cubicBezTo>
                <a:cubicBezTo>
                  <a:pt x="656" y="499"/>
                  <a:pt x="656" y="499"/>
                  <a:pt x="656" y="499"/>
                </a:cubicBezTo>
                <a:cubicBezTo>
                  <a:pt x="677" y="509"/>
                  <a:pt x="687" y="520"/>
                  <a:pt x="687" y="540"/>
                </a:cubicBezTo>
                <a:cubicBezTo>
                  <a:pt x="687" y="790"/>
                  <a:pt x="687" y="790"/>
                  <a:pt x="687" y="790"/>
                </a:cubicBezTo>
                <a:cubicBezTo>
                  <a:pt x="687" y="790"/>
                  <a:pt x="687" y="790"/>
                  <a:pt x="687" y="801"/>
                </a:cubicBezTo>
                <a:cubicBezTo>
                  <a:pt x="864" y="874"/>
                  <a:pt x="864" y="874"/>
                  <a:pt x="864" y="874"/>
                </a:cubicBezTo>
                <a:lnTo>
                  <a:pt x="864" y="874"/>
                </a:lnTo>
                <a:lnTo>
                  <a:pt x="875" y="863"/>
                </a:lnTo>
                <a:cubicBezTo>
                  <a:pt x="864" y="665"/>
                  <a:pt x="864" y="665"/>
                  <a:pt x="864" y="665"/>
                </a:cubicBezTo>
                <a:cubicBezTo>
                  <a:pt x="864" y="645"/>
                  <a:pt x="875" y="634"/>
                  <a:pt x="896" y="624"/>
                </a:cubicBezTo>
                <a:cubicBezTo>
                  <a:pt x="906" y="613"/>
                  <a:pt x="917" y="613"/>
                  <a:pt x="937" y="624"/>
                </a:cubicBezTo>
                <a:cubicBezTo>
                  <a:pt x="1427" y="843"/>
                  <a:pt x="1427" y="843"/>
                  <a:pt x="1427" y="843"/>
                </a:cubicBezTo>
                <a:cubicBezTo>
                  <a:pt x="1448" y="853"/>
                  <a:pt x="1458" y="863"/>
                  <a:pt x="1458" y="884"/>
                </a:cubicBezTo>
                <a:cubicBezTo>
                  <a:pt x="1458" y="1134"/>
                  <a:pt x="1458" y="1134"/>
                  <a:pt x="1458" y="1134"/>
                </a:cubicBezTo>
                <a:cubicBezTo>
                  <a:pt x="1458" y="1134"/>
                  <a:pt x="1458" y="1134"/>
                  <a:pt x="1458" y="1145"/>
                </a:cubicBezTo>
                <a:cubicBezTo>
                  <a:pt x="1635" y="1218"/>
                  <a:pt x="1635" y="1218"/>
                  <a:pt x="1635" y="1218"/>
                </a:cubicBezTo>
                <a:lnTo>
                  <a:pt x="1646" y="1218"/>
                </a:lnTo>
                <a:lnTo>
                  <a:pt x="1646" y="1218"/>
                </a:lnTo>
                <a:lnTo>
                  <a:pt x="1646" y="1218"/>
                </a:lnTo>
                <a:cubicBezTo>
                  <a:pt x="1646" y="738"/>
                  <a:pt x="1646" y="738"/>
                  <a:pt x="1646" y="738"/>
                </a:cubicBezTo>
                <a:cubicBezTo>
                  <a:pt x="1646" y="738"/>
                  <a:pt x="1646" y="738"/>
                  <a:pt x="1646" y="728"/>
                </a:cubicBezTo>
                <a:cubicBezTo>
                  <a:pt x="10" y="0"/>
                  <a:pt x="10" y="0"/>
                  <a:pt x="10" y="0"/>
                </a:cubicBezTo>
                <a:lnTo>
                  <a:pt x="0" y="0"/>
                </a:lnTo>
                <a:cubicBezTo>
                  <a:pt x="0" y="0"/>
                  <a:pt x="0" y="0"/>
                  <a:pt x="0" y="10"/>
                </a:cubicBezTo>
                <a:cubicBezTo>
                  <a:pt x="0" y="478"/>
                  <a:pt x="0" y="478"/>
                  <a:pt x="0" y="478"/>
                </a:cubicBezTo>
                <a:cubicBezTo>
                  <a:pt x="0" y="488"/>
                  <a:pt x="0" y="488"/>
                  <a:pt x="0" y="488"/>
                </a:cubicBezTo>
                <a:cubicBezTo>
                  <a:pt x="167" y="561"/>
                  <a:pt x="167" y="561"/>
                  <a:pt x="167" y="561"/>
                </a:cubicBezTo>
                <a:cubicBezTo>
                  <a:pt x="167" y="561"/>
                  <a:pt x="167" y="561"/>
                  <a:pt x="177" y="561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74" name="Freeform 59">
            <a:extLst>
              <a:ext uri="{FF2B5EF4-FFF2-40B4-BE49-F238E27FC236}">
                <a16:creationId xmlns:a16="http://schemas.microsoft.com/office/drawing/2014/main" id="{03069D8A-9C83-12E7-2556-FF281FC19B90}"/>
              </a:ext>
            </a:extLst>
          </xdr:cNvPr>
          <xdr:cNvSpPr>
            <a:spLocks noChangeArrowheads="1"/>
          </xdr:cNvSpPr>
        </xdr:nvSpPr>
        <xdr:spPr bwMode="auto">
          <a:xfrm>
            <a:off x="3635375" y="6557963"/>
            <a:ext cx="49213" cy="46037"/>
          </a:xfrm>
          <a:custGeom>
            <a:avLst/>
            <a:gdLst>
              <a:gd name="T0" fmla="*/ 125 w 137"/>
              <a:gd name="T1" fmla="*/ 125 h 126"/>
              <a:gd name="T2" fmla="*/ 125 w 137"/>
              <a:gd name="T3" fmla="*/ 125 h 126"/>
              <a:gd name="T4" fmla="*/ 125 w 137"/>
              <a:gd name="T5" fmla="*/ 125 h 126"/>
              <a:gd name="T6" fmla="*/ 136 w 137"/>
              <a:gd name="T7" fmla="*/ 125 h 126"/>
              <a:gd name="T8" fmla="*/ 136 w 137"/>
              <a:gd name="T9" fmla="*/ 115 h 126"/>
              <a:gd name="T10" fmla="*/ 136 w 137"/>
              <a:gd name="T11" fmla="*/ 0 h 126"/>
              <a:gd name="T12" fmla="*/ 136 w 137"/>
              <a:gd name="T13" fmla="*/ 0 h 126"/>
              <a:gd name="T14" fmla="*/ 125 w 137"/>
              <a:gd name="T15" fmla="*/ 0 h 126"/>
              <a:gd name="T16" fmla="*/ 11 w 137"/>
              <a:gd name="T17" fmla="*/ 52 h 126"/>
              <a:gd name="T18" fmla="*/ 0 w 137"/>
              <a:gd name="T19" fmla="*/ 63 h 126"/>
              <a:gd name="T20" fmla="*/ 11 w 137"/>
              <a:gd name="T21" fmla="*/ 73 h 126"/>
              <a:gd name="T22" fmla="*/ 125 w 137"/>
              <a:gd name="T23" fmla="*/ 125 h 1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7" h="126">
                <a:moveTo>
                  <a:pt x="125" y="125"/>
                </a:moveTo>
                <a:lnTo>
                  <a:pt x="125" y="125"/>
                </a:lnTo>
                <a:lnTo>
                  <a:pt x="125" y="125"/>
                </a:lnTo>
                <a:cubicBezTo>
                  <a:pt x="136" y="125"/>
                  <a:pt x="136" y="125"/>
                  <a:pt x="136" y="125"/>
                </a:cubicBezTo>
                <a:lnTo>
                  <a:pt x="136" y="115"/>
                </a:lnTo>
                <a:cubicBezTo>
                  <a:pt x="136" y="0"/>
                  <a:pt x="136" y="0"/>
                  <a:pt x="136" y="0"/>
                </a:cubicBezTo>
                <a:lnTo>
                  <a:pt x="136" y="0"/>
                </a:lnTo>
                <a:lnTo>
                  <a:pt x="125" y="0"/>
                </a:lnTo>
                <a:cubicBezTo>
                  <a:pt x="11" y="52"/>
                  <a:pt x="11" y="52"/>
                  <a:pt x="11" y="52"/>
                </a:cubicBezTo>
                <a:cubicBezTo>
                  <a:pt x="0" y="63"/>
                  <a:pt x="0" y="63"/>
                  <a:pt x="0" y="63"/>
                </a:cubicBezTo>
                <a:cubicBezTo>
                  <a:pt x="0" y="63"/>
                  <a:pt x="0" y="73"/>
                  <a:pt x="11" y="73"/>
                </a:cubicBezTo>
                <a:lnTo>
                  <a:pt x="125" y="125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</xdr:grpSp>
    <xdr:clientData/>
  </xdr:twoCellAnchor>
  <xdr:twoCellAnchor editAs="oneCell">
    <xdr:from>
      <xdr:col>2</xdr:col>
      <xdr:colOff>550333</xdr:colOff>
      <xdr:row>1</xdr:row>
      <xdr:rowOff>16097</xdr:rowOff>
    </xdr:from>
    <xdr:to>
      <xdr:col>6</xdr:col>
      <xdr:colOff>317499</xdr:colOff>
      <xdr:row>4</xdr:row>
      <xdr:rowOff>124799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8D979E34-A21A-4F1A-83A9-A65C3EDD8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833" y="206597"/>
          <a:ext cx="2768599" cy="813552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254001</xdr:colOff>
      <xdr:row>61</xdr:row>
      <xdr:rowOff>98541</xdr:rowOff>
    </xdr:from>
    <xdr:to>
      <xdr:col>9</xdr:col>
      <xdr:colOff>740833</xdr:colOff>
      <xdr:row>66</xdr:row>
      <xdr:rowOff>44054</xdr:rowOff>
    </xdr:to>
    <xdr:pic>
      <xdr:nvPicPr>
        <xdr:cNvPr id="6" name="Picture 18">
          <a:extLst>
            <a:ext uri="{FF2B5EF4-FFF2-40B4-BE49-F238E27FC236}">
              <a16:creationId xmlns:a16="http://schemas.microsoft.com/office/drawing/2014/main" id="{4138293B-7D3A-D19C-CF68-BABC6D8FC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5334" y="10417291"/>
          <a:ext cx="1238249" cy="876846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285748</xdr:colOff>
      <xdr:row>63</xdr:row>
      <xdr:rowOff>7558</xdr:rowOff>
    </xdr:from>
    <xdr:to>
      <xdr:col>12</xdr:col>
      <xdr:colOff>137583</xdr:colOff>
      <xdr:row>64</xdr:row>
      <xdr:rowOff>146049</xdr:rowOff>
    </xdr:to>
    <xdr:pic>
      <xdr:nvPicPr>
        <xdr:cNvPr id="7" name="Picture 14">
          <a:extLst>
            <a:ext uri="{FF2B5EF4-FFF2-40B4-BE49-F238E27FC236}">
              <a16:creationId xmlns:a16="http://schemas.microsoft.com/office/drawing/2014/main" id="{78DBBCC5-62B3-C7A7-0122-51304DF45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81748" y="10707308"/>
          <a:ext cx="1354668" cy="328991"/>
        </a:xfrm>
        <a:prstGeom prst="rect">
          <a:avLst/>
        </a:prstGeom>
      </xdr:spPr>
    </xdr:pic>
    <xdr:clientData/>
  </xdr:twoCellAnchor>
  <xdr:twoCellAnchor>
    <xdr:from>
      <xdr:col>1</xdr:col>
      <xdr:colOff>359835</xdr:colOff>
      <xdr:row>61</xdr:row>
      <xdr:rowOff>144165</xdr:rowOff>
    </xdr:from>
    <xdr:to>
      <xdr:col>4</xdr:col>
      <xdr:colOff>74083</xdr:colOff>
      <xdr:row>66</xdr:row>
      <xdr:rowOff>42335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3303E138-974F-BF1F-A667-575B1EDB579D}"/>
            </a:ext>
          </a:extLst>
        </xdr:cNvPr>
        <xdr:cNvGrpSpPr/>
      </xdr:nvGrpSpPr>
      <xdr:grpSpPr>
        <a:xfrm>
          <a:off x="508002" y="12484332"/>
          <a:ext cx="1650998" cy="829503"/>
          <a:chOff x="9336987" y="4184513"/>
          <a:chExt cx="1744155" cy="610190"/>
        </a:xfrm>
      </xdr:grpSpPr>
      <xdr:sp macro="" textlink="">
        <xdr:nvSpPr>
          <xdr:cNvPr id="13" name="TextBox 44">
            <a:extLst>
              <a:ext uri="{FF2B5EF4-FFF2-40B4-BE49-F238E27FC236}">
                <a16:creationId xmlns:a16="http://schemas.microsoft.com/office/drawing/2014/main" id="{232D5FDB-7B27-3F72-987F-56CCCA315804}"/>
              </a:ext>
            </a:extLst>
          </xdr:cNvPr>
          <xdr:cNvSpPr txBox="1"/>
        </xdr:nvSpPr>
        <xdr:spPr>
          <a:xfrm>
            <a:off x="9336987" y="4184513"/>
            <a:ext cx="1744155" cy="2009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GB" sz="800" b="1">
                <a:solidFill>
                  <a:srgbClr val="013976"/>
                </a:solidFill>
                <a:effectLst/>
                <a:latin typeface="Arial" panose="020B0604020202020204" pitchFamily="34" charset="0"/>
                <a:ea typeface="Verdana" panose="020B0604030504040204" pitchFamily="34" charset="0"/>
                <a:cs typeface="Arial" panose="020B0604020202020204" pitchFamily="34" charset="0"/>
              </a:rPr>
              <a:t>Tiempo Estimado de Entrega</a:t>
            </a:r>
          </a:p>
        </xdr:txBody>
      </xdr:sp>
      <xdr:pic>
        <xdr:nvPicPr>
          <xdr:cNvPr id="14" name="Picture 14">
            <a:extLst>
              <a:ext uri="{FF2B5EF4-FFF2-40B4-BE49-F238E27FC236}">
                <a16:creationId xmlns:a16="http://schemas.microsoft.com/office/drawing/2014/main" id="{A534264E-F31F-1DF3-0924-4765210CE9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9926071" y="4366517"/>
            <a:ext cx="438927" cy="428186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63498</xdr:colOff>
      <xdr:row>61</xdr:row>
      <xdr:rowOff>158747</xdr:rowOff>
    </xdr:from>
    <xdr:to>
      <xdr:col>6</xdr:col>
      <xdr:colOff>201086</xdr:colOff>
      <xdr:row>66</xdr:row>
      <xdr:rowOff>42332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9C97DD67-4BC3-F923-CC96-9C2C86433BC1}"/>
            </a:ext>
          </a:extLst>
        </xdr:cNvPr>
        <xdr:cNvGrpSpPr/>
      </xdr:nvGrpSpPr>
      <xdr:grpSpPr>
        <a:xfrm>
          <a:off x="2148415" y="12498914"/>
          <a:ext cx="1640421" cy="814918"/>
          <a:chOff x="9356868" y="1707248"/>
          <a:chExt cx="1539465" cy="845595"/>
        </a:xfrm>
      </xdr:grpSpPr>
      <xdr:pic>
        <xdr:nvPicPr>
          <xdr:cNvPr id="16" name="Picture 12">
            <a:extLst>
              <a:ext uri="{FF2B5EF4-FFF2-40B4-BE49-F238E27FC236}">
                <a16:creationId xmlns:a16="http://schemas.microsoft.com/office/drawing/2014/main" id="{9FBE60D1-3DD7-0534-50FA-AFA5E8F5A2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9770265" y="2001370"/>
            <a:ext cx="678420" cy="551473"/>
          </a:xfrm>
          <a:prstGeom prst="rect">
            <a:avLst/>
          </a:prstGeom>
        </xdr:spPr>
      </xdr:pic>
      <xdr:sp macro="" textlink="">
        <xdr:nvSpPr>
          <xdr:cNvPr id="17" name="TextBox 44">
            <a:extLst>
              <a:ext uri="{FF2B5EF4-FFF2-40B4-BE49-F238E27FC236}">
                <a16:creationId xmlns:a16="http://schemas.microsoft.com/office/drawing/2014/main" id="{A5BA5087-5729-BCC7-5832-DE68319EFB8F}"/>
              </a:ext>
            </a:extLst>
          </xdr:cNvPr>
          <xdr:cNvSpPr txBox="1"/>
        </xdr:nvSpPr>
        <xdr:spPr>
          <a:xfrm>
            <a:off x="9356868" y="1707248"/>
            <a:ext cx="1539465" cy="27823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GB" sz="800" b="1">
                <a:solidFill>
                  <a:srgbClr val="013976"/>
                </a:solidFill>
                <a:effectLst/>
                <a:latin typeface="Arial" panose="020B0604020202020204" pitchFamily="34" charset="0"/>
                <a:ea typeface="Verdana" panose="020B0604030504040204" pitchFamily="34" charset="0"/>
                <a:cs typeface="Arial" panose="020B0604020202020204" pitchFamily="34" charset="0"/>
              </a:rPr>
              <a:t>Servicio Pre12 / Pre14</a:t>
            </a:r>
          </a:p>
        </xdr:txBody>
      </xdr:sp>
    </xdr:grpSp>
    <xdr:clientData/>
  </xdr:twoCellAnchor>
  <xdr:twoCellAnchor editAs="oneCell">
    <xdr:from>
      <xdr:col>12</xdr:col>
      <xdr:colOff>539750</xdr:colOff>
      <xdr:row>61</xdr:row>
      <xdr:rowOff>173955</xdr:rowOff>
    </xdr:from>
    <xdr:to>
      <xdr:col>14</xdr:col>
      <xdr:colOff>380853</xdr:colOff>
      <xdr:row>66</xdr:row>
      <xdr:rowOff>42334</xdr:rowOff>
    </xdr:to>
    <xdr:pic>
      <xdr:nvPicPr>
        <xdr:cNvPr id="18" name="Picture 7">
          <a:extLst>
            <a:ext uri="{FF2B5EF4-FFF2-40B4-BE49-F238E27FC236}">
              <a16:creationId xmlns:a16="http://schemas.microsoft.com/office/drawing/2014/main" id="{E850EDE0-5028-E6A3-8E84-752B95064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90417" y="10492705"/>
          <a:ext cx="1343936" cy="799712"/>
        </a:xfrm>
        <a:prstGeom prst="rect">
          <a:avLst/>
        </a:prstGeom>
      </xdr:spPr>
    </xdr:pic>
    <xdr:clientData/>
  </xdr:twoCellAnchor>
  <xdr:twoCellAnchor editAs="oneCell">
    <xdr:from>
      <xdr:col>6</xdr:col>
      <xdr:colOff>423333</xdr:colOff>
      <xdr:row>62</xdr:row>
      <xdr:rowOff>31750</xdr:rowOff>
    </xdr:from>
    <xdr:to>
      <xdr:col>7</xdr:col>
      <xdr:colOff>624416</xdr:colOff>
      <xdr:row>65</xdr:row>
      <xdr:rowOff>16934</xdr:rowOff>
    </xdr:to>
    <xdr:pic>
      <xdr:nvPicPr>
        <xdr:cNvPr id="19" name="Picture 15">
          <a:extLst>
            <a:ext uri="{FF2B5EF4-FFF2-40B4-BE49-F238E27FC236}">
              <a16:creationId xmlns:a16="http://schemas.microsoft.com/office/drawing/2014/main" id="{00C1D582-C15E-657F-3044-41F0C3A9D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00" y="10541000"/>
          <a:ext cx="952500" cy="546100"/>
        </a:xfrm>
        <a:prstGeom prst="rect">
          <a:avLst/>
        </a:prstGeom>
      </xdr:spPr>
    </xdr:pic>
    <xdr:clientData/>
  </xdr:twoCellAnchor>
  <xdr:twoCellAnchor>
    <xdr:from>
      <xdr:col>11</xdr:col>
      <xdr:colOff>285751</xdr:colOff>
      <xdr:row>31</xdr:row>
      <xdr:rowOff>1</xdr:rowOff>
    </xdr:from>
    <xdr:to>
      <xdr:col>19</xdr:col>
      <xdr:colOff>709083</xdr:colOff>
      <xdr:row>55</xdr:row>
      <xdr:rowOff>74083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5FC138B8-9BFD-4F0D-9B50-308EF7A63123}"/>
            </a:ext>
          </a:extLst>
        </xdr:cNvPr>
        <xdr:cNvGrpSpPr/>
      </xdr:nvGrpSpPr>
      <xdr:grpSpPr>
        <a:xfrm>
          <a:off x="7630584" y="7016751"/>
          <a:ext cx="6434666" cy="4392082"/>
          <a:chOff x="0" y="0"/>
          <a:chExt cx="6143287" cy="4473087"/>
        </a:xfrm>
      </xdr:grpSpPr>
      <xdr:grpSp>
        <xdr:nvGrpSpPr>
          <xdr:cNvPr id="4" name="Gruppo 5">
            <a:extLst>
              <a:ext uri="{FF2B5EF4-FFF2-40B4-BE49-F238E27FC236}">
                <a16:creationId xmlns:a16="http://schemas.microsoft.com/office/drawing/2014/main" id="{B780DDD3-78FC-6FA0-4A8B-A450F3542A30}"/>
              </a:ext>
            </a:extLst>
          </xdr:cNvPr>
          <xdr:cNvGrpSpPr/>
        </xdr:nvGrpSpPr>
        <xdr:grpSpPr>
          <a:xfrm>
            <a:off x="124972" y="0"/>
            <a:ext cx="1323304" cy="2098766"/>
            <a:chOff x="124972" y="0"/>
            <a:chExt cx="1343745" cy="1722517"/>
          </a:xfrm>
        </xdr:grpSpPr>
        <xdr:sp macro="" textlink="">
          <xdr:nvSpPr>
            <xdr:cNvPr id="128" name="Google Shape;934;p5">
              <a:extLst>
                <a:ext uri="{FF2B5EF4-FFF2-40B4-BE49-F238E27FC236}">
                  <a16:creationId xmlns:a16="http://schemas.microsoft.com/office/drawing/2014/main" id="{5489BC20-8D47-49BA-411C-62E9E9FEFDE3}"/>
                </a:ext>
              </a:extLst>
            </xdr:cNvPr>
            <xdr:cNvSpPr txBox="1"/>
          </xdr:nvSpPr>
          <xdr:spPr>
            <a:xfrm>
              <a:off x="124972" y="0"/>
              <a:ext cx="1343745" cy="386316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000" b="1">
                  <a:solidFill>
                    <a:srgbClr val="013976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Full Pallet</a:t>
              </a:r>
              <a:endParaRPr sz="1050" b="1">
                <a:solidFill>
                  <a:srgbClr val="013976"/>
                </a:solidFill>
                <a:latin typeface="Frutiger LT Std 55 Roman" panose="020B0602020204020204" pitchFamily="34" charset="77"/>
              </a:endParaRPr>
            </a:p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400" b="1">
                  <a:solidFill>
                    <a:srgbClr val="00B0F0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1.200 Kg</a:t>
              </a:r>
              <a:endParaRPr sz="1050" b="1">
                <a:solidFill>
                  <a:srgbClr val="00B0F0"/>
                </a:solidFill>
                <a:latin typeface="Frutiger LT Std 55 Roman" panose="020B0602020204020204" pitchFamily="34" charset="77"/>
              </a:endParaRPr>
            </a:p>
          </xdr:txBody>
        </xdr:sp>
        <xdr:grpSp>
          <xdr:nvGrpSpPr>
            <xdr:cNvPr id="129" name="Gruppo 82">
              <a:extLst>
                <a:ext uri="{FF2B5EF4-FFF2-40B4-BE49-F238E27FC236}">
                  <a16:creationId xmlns:a16="http://schemas.microsoft.com/office/drawing/2014/main" id="{F0533C98-522B-29F2-06B2-1D2C5F8C1025}"/>
                </a:ext>
              </a:extLst>
            </xdr:cNvPr>
            <xdr:cNvGrpSpPr/>
          </xdr:nvGrpSpPr>
          <xdr:grpSpPr>
            <a:xfrm>
              <a:off x="297994" y="1288508"/>
              <a:ext cx="1104744" cy="434009"/>
              <a:chOff x="297994" y="1288508"/>
              <a:chExt cx="787478" cy="360378"/>
            </a:xfrm>
          </xdr:grpSpPr>
          <xdr:sp macro="" textlink="">
            <xdr:nvSpPr>
              <xdr:cNvPr id="131" name="Google Shape;935;p5">
                <a:extLst>
                  <a:ext uri="{FF2B5EF4-FFF2-40B4-BE49-F238E27FC236}">
                    <a16:creationId xmlns:a16="http://schemas.microsoft.com/office/drawing/2014/main" id="{45C574F8-9606-F6AA-AB74-160AA7DCF539}"/>
                  </a:ext>
                </a:extLst>
              </xdr:cNvPr>
              <xdr:cNvSpPr txBox="1"/>
            </xdr:nvSpPr>
            <xdr:spPr>
              <a:xfrm>
                <a:off x="297994" y="1288508"/>
                <a:ext cx="787478" cy="36037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Altura: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Largo: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Ancho: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132" name="Google Shape;936;p5">
                <a:extLst>
                  <a:ext uri="{FF2B5EF4-FFF2-40B4-BE49-F238E27FC236}">
                    <a16:creationId xmlns:a16="http://schemas.microsoft.com/office/drawing/2014/main" id="{32EA4B8B-325C-71A2-EE1E-BB77D403BCFD}"/>
                  </a:ext>
                </a:extLst>
              </xdr:cNvPr>
              <xdr:cNvSpPr txBox="1"/>
            </xdr:nvSpPr>
            <xdr:spPr>
              <a:xfrm>
                <a:off x="464806" y="1292944"/>
                <a:ext cx="537416" cy="35294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220cm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100cm</a:t>
                </a:r>
                <a:endParaRPr lang="it-IT"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</xdr:txBody>
          </xdr:sp>
        </xdr:grpSp>
        <xdr:sp macro="" textlink="">
          <xdr:nvSpPr>
            <xdr:cNvPr id="130" name="Google Shape;937;p5">
              <a:extLst>
                <a:ext uri="{FF2B5EF4-FFF2-40B4-BE49-F238E27FC236}">
                  <a16:creationId xmlns:a16="http://schemas.microsoft.com/office/drawing/2014/main" id="{DDAC66EA-D168-6A6C-3B51-05AD81AB7BC3}"/>
                </a:ext>
              </a:extLst>
            </xdr:cNvPr>
            <xdr:cNvSpPr/>
          </xdr:nvSpPr>
          <xdr:spPr>
            <a:xfrm>
              <a:off x="456240" y="444239"/>
              <a:ext cx="681207" cy="845042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5" name="Gruppo 5">
            <a:extLst>
              <a:ext uri="{FF2B5EF4-FFF2-40B4-BE49-F238E27FC236}">
                <a16:creationId xmlns:a16="http://schemas.microsoft.com/office/drawing/2014/main" id="{6AFD9794-A542-F89B-F822-DCFBC1714F6F}"/>
              </a:ext>
            </a:extLst>
          </xdr:cNvPr>
          <xdr:cNvGrpSpPr/>
        </xdr:nvGrpSpPr>
        <xdr:grpSpPr>
          <a:xfrm>
            <a:off x="1675388" y="21211"/>
            <a:ext cx="1323304" cy="2098776"/>
            <a:chOff x="1675388" y="21211"/>
            <a:chExt cx="1343745" cy="1722524"/>
          </a:xfrm>
        </xdr:grpSpPr>
        <xdr:sp macro="" textlink="">
          <xdr:nvSpPr>
            <xdr:cNvPr id="123" name="Google Shape;934;p5">
              <a:extLst>
                <a:ext uri="{FF2B5EF4-FFF2-40B4-BE49-F238E27FC236}">
                  <a16:creationId xmlns:a16="http://schemas.microsoft.com/office/drawing/2014/main" id="{807FCA01-0AE4-59CC-B692-C7C16E040E0E}"/>
                </a:ext>
              </a:extLst>
            </xdr:cNvPr>
            <xdr:cNvSpPr txBox="1"/>
          </xdr:nvSpPr>
          <xdr:spPr>
            <a:xfrm>
              <a:off x="1675388" y="21211"/>
              <a:ext cx="1343745" cy="38631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000" b="1">
                  <a:solidFill>
                    <a:srgbClr val="013976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EuroPallet</a:t>
              </a:r>
              <a:endParaRPr sz="1050" b="1">
                <a:solidFill>
                  <a:srgbClr val="013976"/>
                </a:solidFill>
                <a:latin typeface="Frutiger LT Std 55 Roman" panose="020B0602020204020204" pitchFamily="34" charset="77"/>
              </a:endParaRPr>
            </a:p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400" b="1">
                  <a:solidFill>
                    <a:srgbClr val="00B0F0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900 Kg</a:t>
              </a:r>
              <a:endParaRPr sz="1050" b="1">
                <a:solidFill>
                  <a:srgbClr val="00B0F0"/>
                </a:solidFill>
                <a:latin typeface="Frutiger LT Std 55 Roman" panose="020B0602020204020204" pitchFamily="34" charset="77"/>
              </a:endParaRPr>
            </a:p>
          </xdr:txBody>
        </xdr:sp>
        <xdr:grpSp>
          <xdr:nvGrpSpPr>
            <xdr:cNvPr id="124" name="Gruppo 82">
              <a:extLst>
                <a:ext uri="{FF2B5EF4-FFF2-40B4-BE49-F238E27FC236}">
                  <a16:creationId xmlns:a16="http://schemas.microsoft.com/office/drawing/2014/main" id="{D22ED19B-31EA-E05C-176E-5F024ADFC84B}"/>
                </a:ext>
              </a:extLst>
            </xdr:cNvPr>
            <xdr:cNvGrpSpPr/>
          </xdr:nvGrpSpPr>
          <xdr:grpSpPr>
            <a:xfrm>
              <a:off x="1848411" y="1309725"/>
              <a:ext cx="1104744" cy="434010"/>
              <a:chOff x="1848411" y="1309725"/>
              <a:chExt cx="787478" cy="360378"/>
            </a:xfrm>
          </xdr:grpSpPr>
          <xdr:sp macro="" textlink="">
            <xdr:nvSpPr>
              <xdr:cNvPr id="126" name="Google Shape;935;p5">
                <a:extLst>
                  <a:ext uri="{FF2B5EF4-FFF2-40B4-BE49-F238E27FC236}">
                    <a16:creationId xmlns:a16="http://schemas.microsoft.com/office/drawing/2014/main" id="{DA6B624D-807B-4563-A265-71042D37EB76}"/>
                  </a:ext>
                </a:extLst>
              </xdr:cNvPr>
              <xdr:cNvSpPr txBox="1"/>
            </xdr:nvSpPr>
            <xdr:spPr>
              <a:xfrm>
                <a:off x="1848411" y="1309725"/>
                <a:ext cx="787478" cy="36037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Altura: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Largo: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Ancho: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127" name="Google Shape;936;p5">
                <a:extLst>
                  <a:ext uri="{FF2B5EF4-FFF2-40B4-BE49-F238E27FC236}">
                    <a16:creationId xmlns:a16="http://schemas.microsoft.com/office/drawing/2014/main" id="{529B0C9E-676C-48BB-5F3D-9CBF95B2A12B}"/>
                  </a:ext>
                </a:extLst>
              </xdr:cNvPr>
              <xdr:cNvSpPr txBox="1"/>
            </xdr:nvSpPr>
            <xdr:spPr>
              <a:xfrm>
                <a:off x="2015223" y="1314175"/>
                <a:ext cx="537416" cy="35294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220cm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80cm</a:t>
                </a:r>
                <a:endParaRPr lang="it-IT"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</xdr:txBody>
          </xdr:sp>
        </xdr:grpSp>
        <xdr:sp macro="" textlink="">
          <xdr:nvSpPr>
            <xdr:cNvPr id="125" name="Google Shape;937;p5">
              <a:extLst>
                <a:ext uri="{FF2B5EF4-FFF2-40B4-BE49-F238E27FC236}">
                  <a16:creationId xmlns:a16="http://schemas.microsoft.com/office/drawing/2014/main" id="{CF08CA82-7A7A-A875-6F17-F13C481B353C}"/>
                </a:ext>
              </a:extLst>
            </xdr:cNvPr>
            <xdr:cNvSpPr/>
          </xdr:nvSpPr>
          <xdr:spPr>
            <a:xfrm>
              <a:off x="2006656" y="465452"/>
              <a:ext cx="681208" cy="845042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8" name="Gruppo 5">
            <a:extLst>
              <a:ext uri="{FF2B5EF4-FFF2-40B4-BE49-F238E27FC236}">
                <a16:creationId xmlns:a16="http://schemas.microsoft.com/office/drawing/2014/main" id="{34106F14-9D6A-869A-7104-27D63A064C21}"/>
              </a:ext>
            </a:extLst>
          </xdr:cNvPr>
          <xdr:cNvGrpSpPr/>
        </xdr:nvGrpSpPr>
        <xdr:grpSpPr>
          <a:xfrm>
            <a:off x="3410121" y="31312"/>
            <a:ext cx="2643411" cy="2098783"/>
            <a:chOff x="3412754" y="31312"/>
            <a:chExt cx="2684244" cy="1722530"/>
          </a:xfrm>
        </xdr:grpSpPr>
        <xdr:sp macro="" textlink="">
          <xdr:nvSpPr>
            <xdr:cNvPr id="118" name="Google Shape;934;p5">
              <a:extLst>
                <a:ext uri="{FF2B5EF4-FFF2-40B4-BE49-F238E27FC236}">
                  <a16:creationId xmlns:a16="http://schemas.microsoft.com/office/drawing/2014/main" id="{1F81618D-6551-C85A-18A2-59F9A1B5F09F}"/>
                </a:ext>
              </a:extLst>
            </xdr:cNvPr>
            <xdr:cNvSpPr txBox="1"/>
          </xdr:nvSpPr>
          <xdr:spPr>
            <a:xfrm>
              <a:off x="4753253" y="31312"/>
              <a:ext cx="1343745" cy="38631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000" b="1">
                  <a:solidFill>
                    <a:srgbClr val="013976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Extra Light Pallet</a:t>
              </a:r>
              <a:endParaRPr sz="1050" b="1">
                <a:solidFill>
                  <a:srgbClr val="013976"/>
                </a:solidFill>
                <a:latin typeface="Frutiger LT Std 55 Roman" panose="020B0602020204020204" pitchFamily="34" charset="77"/>
              </a:endParaRPr>
            </a:p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400" b="1">
                  <a:solidFill>
                    <a:srgbClr val="00B0F0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450 Kg</a:t>
              </a:r>
              <a:endParaRPr sz="1050" b="1">
                <a:solidFill>
                  <a:srgbClr val="00B0F0"/>
                </a:solidFill>
                <a:latin typeface="Frutiger LT Std 55 Roman" panose="020B0602020204020204" pitchFamily="34" charset="77"/>
              </a:endParaRPr>
            </a:p>
          </xdr:txBody>
        </xdr:sp>
        <xdr:grpSp>
          <xdr:nvGrpSpPr>
            <xdr:cNvPr id="119" name="Gruppo 82">
              <a:extLst>
                <a:ext uri="{FF2B5EF4-FFF2-40B4-BE49-F238E27FC236}">
                  <a16:creationId xmlns:a16="http://schemas.microsoft.com/office/drawing/2014/main" id="{F1A3EEEF-3337-2EE8-F639-EB828492A1DC}"/>
                </a:ext>
              </a:extLst>
            </xdr:cNvPr>
            <xdr:cNvGrpSpPr/>
          </xdr:nvGrpSpPr>
          <xdr:grpSpPr>
            <a:xfrm>
              <a:off x="3412754" y="1319831"/>
              <a:ext cx="1104744" cy="434011"/>
              <a:chOff x="3412754" y="1319831"/>
              <a:chExt cx="787478" cy="360379"/>
            </a:xfrm>
          </xdr:grpSpPr>
          <xdr:sp macro="" textlink="">
            <xdr:nvSpPr>
              <xdr:cNvPr id="121" name="Google Shape;935;p5">
                <a:extLst>
                  <a:ext uri="{FF2B5EF4-FFF2-40B4-BE49-F238E27FC236}">
                    <a16:creationId xmlns:a16="http://schemas.microsoft.com/office/drawing/2014/main" id="{C6A6746D-3BD5-61F3-2BBA-779E33DD571F}"/>
                  </a:ext>
                </a:extLst>
              </xdr:cNvPr>
              <xdr:cNvSpPr txBox="1"/>
            </xdr:nvSpPr>
            <xdr:spPr>
              <a:xfrm>
                <a:off x="3412754" y="1319831"/>
                <a:ext cx="787478" cy="36037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Altura: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Largo: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Ancho: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122" name="Google Shape;936;p5">
                <a:extLst>
                  <a:ext uri="{FF2B5EF4-FFF2-40B4-BE49-F238E27FC236}">
                    <a16:creationId xmlns:a16="http://schemas.microsoft.com/office/drawing/2014/main" id="{881D0427-B47E-1488-4C79-7F5162CBFEAE}"/>
                  </a:ext>
                </a:extLst>
              </xdr:cNvPr>
              <xdr:cNvSpPr txBox="1"/>
            </xdr:nvSpPr>
            <xdr:spPr>
              <a:xfrm>
                <a:off x="3579567" y="1324274"/>
                <a:ext cx="537416" cy="35294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160cm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100cm</a:t>
                </a:r>
                <a:endParaRPr lang="it-IT"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</xdr:txBody>
          </xdr:sp>
        </xdr:grpSp>
        <xdr:sp macro="" textlink="">
          <xdr:nvSpPr>
            <xdr:cNvPr id="120" name="Google Shape;937;p5">
              <a:extLst>
                <a:ext uri="{FF2B5EF4-FFF2-40B4-BE49-F238E27FC236}">
                  <a16:creationId xmlns:a16="http://schemas.microsoft.com/office/drawing/2014/main" id="{A5BFA27B-5546-9C21-675D-7D50F7260C33}"/>
                </a:ext>
              </a:extLst>
            </xdr:cNvPr>
            <xdr:cNvSpPr/>
          </xdr:nvSpPr>
          <xdr:spPr>
            <a:xfrm>
              <a:off x="5153150" y="459628"/>
              <a:ext cx="681208" cy="845042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9" name="Grupo 8">
            <a:extLst>
              <a:ext uri="{FF2B5EF4-FFF2-40B4-BE49-F238E27FC236}">
                <a16:creationId xmlns:a16="http://schemas.microsoft.com/office/drawing/2014/main" id="{A7665F63-3B7D-B041-2E9B-FD93E419286C}"/>
              </a:ext>
            </a:extLst>
          </xdr:cNvPr>
          <xdr:cNvGrpSpPr/>
        </xdr:nvGrpSpPr>
        <xdr:grpSpPr>
          <a:xfrm>
            <a:off x="3288785" y="3851"/>
            <a:ext cx="2702858" cy="2136640"/>
            <a:chOff x="3266471" y="10638"/>
            <a:chExt cx="2744609" cy="1753601"/>
          </a:xfrm>
        </xdr:grpSpPr>
        <xdr:grpSp>
          <xdr:nvGrpSpPr>
            <xdr:cNvPr id="112" name="Gruppo 5">
              <a:extLst>
                <a:ext uri="{FF2B5EF4-FFF2-40B4-BE49-F238E27FC236}">
                  <a16:creationId xmlns:a16="http://schemas.microsoft.com/office/drawing/2014/main" id="{E286F68B-2B33-38ED-FAE3-0BF28D88BB47}"/>
                </a:ext>
              </a:extLst>
            </xdr:cNvPr>
            <xdr:cNvGrpSpPr/>
          </xdr:nvGrpSpPr>
          <xdr:grpSpPr>
            <a:xfrm>
              <a:off x="3266471" y="10638"/>
              <a:ext cx="2744609" cy="1753601"/>
              <a:chOff x="3266471" y="10638"/>
              <a:chExt cx="2744609" cy="1753601"/>
            </a:xfrm>
          </xdr:grpSpPr>
          <xdr:sp macro="" textlink="">
            <xdr:nvSpPr>
              <xdr:cNvPr id="114" name="Google Shape;934;p5">
                <a:extLst>
                  <a:ext uri="{FF2B5EF4-FFF2-40B4-BE49-F238E27FC236}">
                    <a16:creationId xmlns:a16="http://schemas.microsoft.com/office/drawing/2014/main" id="{27523E0F-B060-A5D6-A9EF-B7922FFA29E9}"/>
                  </a:ext>
                </a:extLst>
              </xdr:cNvPr>
              <xdr:cNvSpPr txBox="1"/>
            </xdr:nvSpPr>
            <xdr:spPr>
              <a:xfrm>
                <a:off x="3266471" y="10638"/>
                <a:ext cx="1343745" cy="38631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Half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600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115" name="Gruppo 82">
                <a:extLst>
                  <a:ext uri="{FF2B5EF4-FFF2-40B4-BE49-F238E27FC236}">
                    <a16:creationId xmlns:a16="http://schemas.microsoft.com/office/drawing/2014/main" id="{7769374A-3BB1-C518-BC01-FFF1E88C4F33}"/>
                  </a:ext>
                </a:extLst>
              </xdr:cNvPr>
              <xdr:cNvGrpSpPr/>
            </xdr:nvGrpSpPr>
            <xdr:grpSpPr>
              <a:xfrm>
                <a:off x="4906336" y="1330228"/>
                <a:ext cx="1104744" cy="434011"/>
                <a:chOff x="4906336" y="1330228"/>
                <a:chExt cx="787478" cy="360379"/>
              </a:xfrm>
            </xdr:grpSpPr>
            <xdr:sp macro="" textlink="">
              <xdr:nvSpPr>
                <xdr:cNvPr id="116" name="Google Shape;935;p5">
                  <a:extLst>
                    <a:ext uri="{FF2B5EF4-FFF2-40B4-BE49-F238E27FC236}">
                      <a16:creationId xmlns:a16="http://schemas.microsoft.com/office/drawing/2014/main" id="{B5F3EA46-4EE4-0747-97D9-846A01C24510}"/>
                    </a:ext>
                  </a:extLst>
                </xdr:cNvPr>
                <xdr:cNvSpPr txBox="1"/>
              </xdr:nvSpPr>
              <xdr:spPr>
                <a:xfrm>
                  <a:off x="4906336" y="1330228"/>
                  <a:ext cx="787478" cy="36037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117" name="Google Shape;936;p5">
                  <a:extLst>
                    <a:ext uri="{FF2B5EF4-FFF2-40B4-BE49-F238E27FC236}">
                      <a16:creationId xmlns:a16="http://schemas.microsoft.com/office/drawing/2014/main" id="{92A2338F-4418-1311-3B58-96CB989F0567}"/>
                    </a:ext>
                  </a:extLst>
                </xdr:cNvPr>
                <xdr:cNvSpPr txBox="1"/>
              </xdr:nvSpPr>
              <xdr:spPr>
                <a:xfrm>
                  <a:off x="5073148" y="1334671"/>
                  <a:ext cx="537416" cy="35294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r"/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220cm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100cm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113" name="Google Shape;919;p5">
              <a:extLst>
                <a:ext uri="{FF2B5EF4-FFF2-40B4-BE49-F238E27FC236}">
                  <a16:creationId xmlns:a16="http://schemas.microsoft.com/office/drawing/2014/main" id="{38DAD234-5FE1-7EDB-BEA3-8F643A6AB6B1}"/>
                </a:ext>
              </a:extLst>
            </xdr:cNvPr>
            <xdr:cNvSpPr/>
          </xdr:nvSpPr>
          <xdr:spPr>
            <a:xfrm>
              <a:off x="3566895" y="602094"/>
              <a:ext cx="701569" cy="661971"/>
            </a:xfrm>
            <a:prstGeom prst="rect">
              <a:avLst/>
            </a:prstGeom>
            <a:blipFill rotWithShape="1">
              <a:blip xmlns:r="http://schemas.openxmlformats.org/officeDocument/2006/relationships" r:embed="rId9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10" name="Grupo 9">
            <a:extLst>
              <a:ext uri="{FF2B5EF4-FFF2-40B4-BE49-F238E27FC236}">
                <a16:creationId xmlns:a16="http://schemas.microsoft.com/office/drawing/2014/main" id="{960551D7-4845-18A4-A51E-E841DE929F77}"/>
              </a:ext>
            </a:extLst>
          </xdr:cNvPr>
          <xdr:cNvGrpSpPr/>
        </xdr:nvGrpSpPr>
        <xdr:grpSpPr>
          <a:xfrm>
            <a:off x="0" y="2355590"/>
            <a:ext cx="1447887" cy="2117497"/>
            <a:chOff x="0" y="2355588"/>
            <a:chExt cx="1470254" cy="1737888"/>
          </a:xfrm>
        </xdr:grpSpPr>
        <xdr:grpSp>
          <xdr:nvGrpSpPr>
            <xdr:cNvPr id="106" name="Gruppo 5">
              <a:extLst>
                <a:ext uri="{FF2B5EF4-FFF2-40B4-BE49-F238E27FC236}">
                  <a16:creationId xmlns:a16="http://schemas.microsoft.com/office/drawing/2014/main" id="{AF8C8CC5-B248-EE05-F5BB-062021293611}"/>
                </a:ext>
              </a:extLst>
            </xdr:cNvPr>
            <xdr:cNvGrpSpPr/>
          </xdr:nvGrpSpPr>
          <xdr:grpSpPr>
            <a:xfrm>
              <a:off x="0" y="2355588"/>
              <a:ext cx="1470254" cy="1737888"/>
              <a:chOff x="0" y="2355588"/>
              <a:chExt cx="1470254" cy="1737888"/>
            </a:xfrm>
          </xdr:grpSpPr>
          <xdr:sp macro="" textlink="">
            <xdr:nvSpPr>
              <xdr:cNvPr id="108" name="Google Shape;934;p5">
                <a:extLst>
                  <a:ext uri="{FF2B5EF4-FFF2-40B4-BE49-F238E27FC236}">
                    <a16:creationId xmlns:a16="http://schemas.microsoft.com/office/drawing/2014/main" id="{8232CCA1-71A2-9CB2-66CB-678CA711E4C0}"/>
                  </a:ext>
                </a:extLst>
              </xdr:cNvPr>
              <xdr:cNvSpPr txBox="1"/>
            </xdr:nvSpPr>
            <xdr:spPr>
              <a:xfrm>
                <a:off x="0" y="2355588"/>
                <a:ext cx="1470254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Super Euro Light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300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109" name="Gruppo 82">
                <a:extLst>
                  <a:ext uri="{FF2B5EF4-FFF2-40B4-BE49-F238E27FC236}">
                    <a16:creationId xmlns:a16="http://schemas.microsoft.com/office/drawing/2014/main" id="{AB51C32E-E200-4FB9-8DE2-A52938BF489F}"/>
                  </a:ext>
                </a:extLst>
              </xdr:cNvPr>
              <xdr:cNvGrpSpPr/>
            </xdr:nvGrpSpPr>
            <xdr:grpSpPr>
              <a:xfrm>
                <a:off x="288724" y="3670877"/>
                <a:ext cx="1104744" cy="422599"/>
                <a:chOff x="288724" y="3670877"/>
                <a:chExt cx="787478" cy="350903"/>
              </a:xfrm>
            </xdr:grpSpPr>
            <xdr:sp macro="" textlink="">
              <xdr:nvSpPr>
                <xdr:cNvPr id="110" name="Google Shape;935;p5">
                  <a:extLst>
                    <a:ext uri="{FF2B5EF4-FFF2-40B4-BE49-F238E27FC236}">
                      <a16:creationId xmlns:a16="http://schemas.microsoft.com/office/drawing/2014/main" id="{C4AE9E28-BED9-FCFE-6621-86A6A6E25810}"/>
                    </a:ext>
                  </a:extLst>
                </xdr:cNvPr>
                <xdr:cNvSpPr txBox="1"/>
              </xdr:nvSpPr>
              <xdr:spPr>
                <a:xfrm>
                  <a:off x="288724" y="3670877"/>
                  <a:ext cx="787478" cy="350903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111" name="Google Shape;936;p5">
                  <a:extLst>
                    <a:ext uri="{FF2B5EF4-FFF2-40B4-BE49-F238E27FC236}">
                      <a16:creationId xmlns:a16="http://schemas.microsoft.com/office/drawing/2014/main" id="{A70E482C-BDE5-AA64-56ED-E8DC8DD27225}"/>
                    </a:ext>
                  </a:extLst>
                </xdr:cNvPr>
                <xdr:cNvSpPr txBox="1"/>
              </xdr:nvSpPr>
              <xdr:spPr>
                <a:xfrm>
                  <a:off x="455536" y="3675132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220cm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80cm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107" name="Google Shape;937;p5">
              <a:extLst>
                <a:ext uri="{FF2B5EF4-FFF2-40B4-BE49-F238E27FC236}">
                  <a16:creationId xmlns:a16="http://schemas.microsoft.com/office/drawing/2014/main" id="{A5E66765-933E-DA06-5D51-927262FF95C3}"/>
                </a:ext>
              </a:extLst>
            </xdr:cNvPr>
            <xdr:cNvSpPr/>
          </xdr:nvSpPr>
          <xdr:spPr>
            <a:xfrm>
              <a:off x="509534" y="2829349"/>
              <a:ext cx="563778" cy="822827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11" name="Grupo 10">
            <a:extLst>
              <a:ext uri="{FF2B5EF4-FFF2-40B4-BE49-F238E27FC236}">
                <a16:creationId xmlns:a16="http://schemas.microsoft.com/office/drawing/2014/main" id="{8E0C118C-D17E-E3E6-6848-FABAE610CD59}"/>
              </a:ext>
            </a:extLst>
          </xdr:cNvPr>
          <xdr:cNvGrpSpPr/>
        </xdr:nvGrpSpPr>
        <xdr:grpSpPr>
          <a:xfrm>
            <a:off x="1675621" y="2359943"/>
            <a:ext cx="1323303" cy="2086405"/>
            <a:chOff x="1675621" y="2359943"/>
            <a:chExt cx="1557528" cy="1984299"/>
          </a:xfrm>
        </xdr:grpSpPr>
        <xdr:grpSp>
          <xdr:nvGrpSpPr>
            <xdr:cNvPr id="100" name="Gruppo 5">
              <a:extLst>
                <a:ext uri="{FF2B5EF4-FFF2-40B4-BE49-F238E27FC236}">
                  <a16:creationId xmlns:a16="http://schemas.microsoft.com/office/drawing/2014/main" id="{9162E3AE-86F6-A662-836F-18131C121874}"/>
                </a:ext>
              </a:extLst>
            </xdr:cNvPr>
            <xdr:cNvGrpSpPr/>
          </xdr:nvGrpSpPr>
          <xdr:grpSpPr>
            <a:xfrm>
              <a:off x="1675621" y="2359943"/>
              <a:ext cx="1557528" cy="1984299"/>
              <a:chOff x="1675621" y="2359944"/>
              <a:chExt cx="1343745" cy="1712371"/>
            </a:xfrm>
          </xdr:grpSpPr>
          <xdr:sp macro="" textlink="">
            <xdr:nvSpPr>
              <xdr:cNvPr id="102" name="Google Shape;934;p5">
                <a:extLst>
                  <a:ext uri="{FF2B5EF4-FFF2-40B4-BE49-F238E27FC236}">
                    <a16:creationId xmlns:a16="http://schemas.microsoft.com/office/drawing/2014/main" id="{84E3C67C-C024-B8BD-9DF8-06ECAE6CC297}"/>
                  </a:ext>
                </a:extLst>
              </xdr:cNvPr>
              <xdr:cNvSpPr txBox="1"/>
            </xdr:nvSpPr>
            <xdr:spPr>
              <a:xfrm>
                <a:off x="1675621" y="2359944"/>
                <a:ext cx="1343745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Quarter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300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103" name="Gruppo 82">
                <a:extLst>
                  <a:ext uri="{FF2B5EF4-FFF2-40B4-BE49-F238E27FC236}">
                    <a16:creationId xmlns:a16="http://schemas.microsoft.com/office/drawing/2014/main" id="{636932D7-1F83-4100-E46F-BC12E028CE23}"/>
                  </a:ext>
                </a:extLst>
              </xdr:cNvPr>
              <xdr:cNvGrpSpPr/>
            </xdr:nvGrpSpPr>
            <xdr:grpSpPr>
              <a:xfrm>
                <a:off x="1848644" y="3649715"/>
                <a:ext cx="1104744" cy="422600"/>
                <a:chOff x="1848644" y="3649715"/>
                <a:chExt cx="787478" cy="350904"/>
              </a:xfrm>
            </xdr:grpSpPr>
            <xdr:sp macro="" textlink="">
              <xdr:nvSpPr>
                <xdr:cNvPr id="104" name="Google Shape;935;p5">
                  <a:extLst>
                    <a:ext uri="{FF2B5EF4-FFF2-40B4-BE49-F238E27FC236}">
                      <a16:creationId xmlns:a16="http://schemas.microsoft.com/office/drawing/2014/main" id="{BA827D3E-6142-362A-4D24-5EF631E73F46}"/>
                    </a:ext>
                  </a:extLst>
                </xdr:cNvPr>
                <xdr:cNvSpPr txBox="1"/>
              </xdr:nvSpPr>
              <xdr:spPr>
                <a:xfrm>
                  <a:off x="1848644" y="3649715"/>
                  <a:ext cx="787478" cy="35090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105" name="Google Shape;936;p5">
                  <a:extLst>
                    <a:ext uri="{FF2B5EF4-FFF2-40B4-BE49-F238E27FC236}">
                      <a16:creationId xmlns:a16="http://schemas.microsoft.com/office/drawing/2014/main" id="{1857CA5C-4BC8-AEC6-012A-00AB213570E6}"/>
                    </a:ext>
                  </a:extLst>
                </xdr:cNvPr>
                <xdr:cNvSpPr txBox="1"/>
              </xdr:nvSpPr>
              <xdr:spPr>
                <a:xfrm>
                  <a:off x="2015456" y="3653965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110cm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100cm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101" name="Google Shape;377;p2">
              <a:extLst>
                <a:ext uri="{FF2B5EF4-FFF2-40B4-BE49-F238E27FC236}">
                  <a16:creationId xmlns:a16="http://schemas.microsoft.com/office/drawing/2014/main" id="{B56DA540-F10E-F637-BC00-619AB4E4DAF7}"/>
                </a:ext>
              </a:extLst>
            </xdr:cNvPr>
            <xdr:cNvSpPr/>
          </xdr:nvSpPr>
          <xdr:spPr>
            <a:xfrm>
              <a:off x="2081601" y="3012886"/>
              <a:ext cx="786752" cy="678737"/>
            </a:xfrm>
            <a:prstGeom prst="rect">
              <a:avLst/>
            </a:prstGeom>
            <a:blipFill rotWithShape="1">
              <a:blip xmlns:r="http://schemas.openxmlformats.org/officeDocument/2006/relationships" r:embed="rId10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20" name="Grupo 19">
            <a:extLst>
              <a:ext uri="{FF2B5EF4-FFF2-40B4-BE49-F238E27FC236}">
                <a16:creationId xmlns:a16="http://schemas.microsoft.com/office/drawing/2014/main" id="{ADA6C655-00E8-7C07-39E8-65A94D5AE3A9}"/>
              </a:ext>
            </a:extLst>
          </xdr:cNvPr>
          <xdr:cNvGrpSpPr/>
        </xdr:nvGrpSpPr>
        <xdr:grpSpPr>
          <a:xfrm>
            <a:off x="3288786" y="2359943"/>
            <a:ext cx="1323304" cy="2086405"/>
            <a:chOff x="3288784" y="2359943"/>
            <a:chExt cx="1557528" cy="1984299"/>
          </a:xfrm>
        </xdr:grpSpPr>
        <xdr:sp macro="" textlink="">
          <xdr:nvSpPr>
            <xdr:cNvPr id="28" name="Google Shape;409;p2">
              <a:extLst>
                <a:ext uri="{FF2B5EF4-FFF2-40B4-BE49-F238E27FC236}">
                  <a16:creationId xmlns:a16="http://schemas.microsoft.com/office/drawing/2014/main" id="{6B2A14F8-1E41-0E37-7809-DA3B5E4F086B}"/>
                </a:ext>
              </a:extLst>
            </xdr:cNvPr>
            <xdr:cNvSpPr/>
          </xdr:nvSpPr>
          <xdr:spPr>
            <a:xfrm>
              <a:off x="3694764" y="3043835"/>
              <a:ext cx="745568" cy="588429"/>
            </a:xfrm>
            <a:prstGeom prst="rect">
              <a:avLst/>
            </a:prstGeom>
            <a:blipFill rotWithShape="1">
              <a:blip xmlns:r="http://schemas.openxmlformats.org/officeDocument/2006/relationships" r:embed="rId11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 b="1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grpSp>
          <xdr:nvGrpSpPr>
            <xdr:cNvPr id="29" name="Gruppo 5">
              <a:extLst>
                <a:ext uri="{FF2B5EF4-FFF2-40B4-BE49-F238E27FC236}">
                  <a16:creationId xmlns:a16="http://schemas.microsoft.com/office/drawing/2014/main" id="{C10B430F-3A8C-3FE5-7DFF-C2E639BD08FB}"/>
                </a:ext>
              </a:extLst>
            </xdr:cNvPr>
            <xdr:cNvGrpSpPr/>
          </xdr:nvGrpSpPr>
          <xdr:grpSpPr>
            <a:xfrm>
              <a:off x="3288784" y="2359943"/>
              <a:ext cx="1557528" cy="1984299"/>
              <a:chOff x="3288784" y="2359944"/>
              <a:chExt cx="1343745" cy="1712371"/>
            </a:xfrm>
          </xdr:grpSpPr>
          <xdr:sp macro="" textlink="">
            <xdr:nvSpPr>
              <xdr:cNvPr id="30" name="Google Shape;934;p5">
                <a:extLst>
                  <a:ext uri="{FF2B5EF4-FFF2-40B4-BE49-F238E27FC236}">
                    <a16:creationId xmlns:a16="http://schemas.microsoft.com/office/drawing/2014/main" id="{5B7A92FD-6B35-253D-E637-9386169297CF}"/>
                  </a:ext>
                </a:extLst>
              </xdr:cNvPr>
              <xdr:cNvSpPr txBox="1"/>
            </xdr:nvSpPr>
            <xdr:spPr>
              <a:xfrm>
                <a:off x="3288784" y="2359944"/>
                <a:ext cx="1343745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Mini Quarter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150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31" name="Gruppo 82">
                <a:extLst>
                  <a:ext uri="{FF2B5EF4-FFF2-40B4-BE49-F238E27FC236}">
                    <a16:creationId xmlns:a16="http://schemas.microsoft.com/office/drawing/2014/main" id="{352D91E5-0ADF-6C90-E717-C7E9ED5B8885}"/>
                  </a:ext>
                </a:extLst>
              </xdr:cNvPr>
              <xdr:cNvGrpSpPr/>
            </xdr:nvGrpSpPr>
            <xdr:grpSpPr>
              <a:xfrm>
                <a:off x="3461807" y="3649715"/>
                <a:ext cx="1104744" cy="422600"/>
                <a:chOff x="3461807" y="3649715"/>
                <a:chExt cx="787478" cy="350904"/>
              </a:xfrm>
            </xdr:grpSpPr>
            <xdr:sp macro="" textlink="">
              <xdr:nvSpPr>
                <xdr:cNvPr id="98" name="Google Shape;935;p5">
                  <a:extLst>
                    <a:ext uri="{FF2B5EF4-FFF2-40B4-BE49-F238E27FC236}">
                      <a16:creationId xmlns:a16="http://schemas.microsoft.com/office/drawing/2014/main" id="{AAAE3787-5C93-C756-82BA-1513A8CE031B}"/>
                    </a:ext>
                  </a:extLst>
                </xdr:cNvPr>
                <xdr:cNvSpPr txBox="1"/>
              </xdr:nvSpPr>
              <xdr:spPr>
                <a:xfrm>
                  <a:off x="3461807" y="3649715"/>
                  <a:ext cx="787478" cy="35090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99" name="Google Shape;936;p5">
                  <a:extLst>
                    <a:ext uri="{FF2B5EF4-FFF2-40B4-BE49-F238E27FC236}">
                      <a16:creationId xmlns:a16="http://schemas.microsoft.com/office/drawing/2014/main" id="{150190ED-0538-6F07-271D-2FC88AD2AA0A}"/>
                    </a:ext>
                  </a:extLst>
                </xdr:cNvPr>
                <xdr:cNvSpPr txBox="1"/>
              </xdr:nvSpPr>
              <xdr:spPr>
                <a:xfrm>
                  <a:off x="3628619" y="3653965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80cm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100cm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</xdr:grpSp>
      <xdr:grpSp>
        <xdr:nvGrpSpPr>
          <xdr:cNvPr id="21" name="Grupo 20">
            <a:extLst>
              <a:ext uri="{FF2B5EF4-FFF2-40B4-BE49-F238E27FC236}">
                <a16:creationId xmlns:a16="http://schemas.microsoft.com/office/drawing/2014/main" id="{7397A563-391A-3168-BD25-51DDDE27AF0A}"/>
              </a:ext>
            </a:extLst>
          </xdr:cNvPr>
          <xdr:cNvGrpSpPr/>
        </xdr:nvGrpSpPr>
        <xdr:grpSpPr>
          <a:xfrm>
            <a:off x="4819984" y="2359943"/>
            <a:ext cx="1323303" cy="2086405"/>
            <a:chOff x="4819984" y="2359943"/>
            <a:chExt cx="1557528" cy="1984299"/>
          </a:xfrm>
        </xdr:grpSpPr>
        <xdr:grpSp>
          <xdr:nvGrpSpPr>
            <xdr:cNvPr id="22" name="Gruppo 5">
              <a:extLst>
                <a:ext uri="{FF2B5EF4-FFF2-40B4-BE49-F238E27FC236}">
                  <a16:creationId xmlns:a16="http://schemas.microsoft.com/office/drawing/2014/main" id="{3D71E018-42F7-A953-4F54-0FA115C40E54}"/>
                </a:ext>
              </a:extLst>
            </xdr:cNvPr>
            <xdr:cNvGrpSpPr/>
          </xdr:nvGrpSpPr>
          <xdr:grpSpPr>
            <a:xfrm>
              <a:off x="4819984" y="2359943"/>
              <a:ext cx="1557528" cy="1984299"/>
              <a:chOff x="4819984" y="2359944"/>
              <a:chExt cx="1343745" cy="1712371"/>
            </a:xfrm>
          </xdr:grpSpPr>
          <xdr:sp macro="" textlink="">
            <xdr:nvSpPr>
              <xdr:cNvPr id="24" name="Google Shape;934;p5">
                <a:extLst>
                  <a:ext uri="{FF2B5EF4-FFF2-40B4-BE49-F238E27FC236}">
                    <a16:creationId xmlns:a16="http://schemas.microsoft.com/office/drawing/2014/main" id="{75A6A3CF-780B-0D59-8E4D-00C5DB03C36F}"/>
                  </a:ext>
                </a:extLst>
              </xdr:cNvPr>
              <xdr:cNvSpPr txBox="1"/>
            </xdr:nvSpPr>
            <xdr:spPr>
              <a:xfrm>
                <a:off x="4819984" y="2359944"/>
                <a:ext cx="1343745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Mini Quarter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150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25" name="Gruppo 82">
                <a:extLst>
                  <a:ext uri="{FF2B5EF4-FFF2-40B4-BE49-F238E27FC236}">
                    <a16:creationId xmlns:a16="http://schemas.microsoft.com/office/drawing/2014/main" id="{1C0D9B86-99A9-6179-A32C-A381FA168767}"/>
                  </a:ext>
                </a:extLst>
              </xdr:cNvPr>
              <xdr:cNvGrpSpPr/>
            </xdr:nvGrpSpPr>
            <xdr:grpSpPr>
              <a:xfrm>
                <a:off x="4993007" y="3649715"/>
                <a:ext cx="1104744" cy="422600"/>
                <a:chOff x="4993007" y="3649715"/>
                <a:chExt cx="787478" cy="350904"/>
              </a:xfrm>
            </xdr:grpSpPr>
            <xdr:sp macro="" textlink="">
              <xdr:nvSpPr>
                <xdr:cNvPr id="26" name="Google Shape;935;p5">
                  <a:extLst>
                    <a:ext uri="{FF2B5EF4-FFF2-40B4-BE49-F238E27FC236}">
                      <a16:creationId xmlns:a16="http://schemas.microsoft.com/office/drawing/2014/main" id="{A8F1B8E8-43EF-6E88-E2C5-7CF2FB894CBD}"/>
                    </a:ext>
                  </a:extLst>
                </xdr:cNvPr>
                <xdr:cNvSpPr txBox="1"/>
              </xdr:nvSpPr>
              <xdr:spPr>
                <a:xfrm>
                  <a:off x="4993007" y="3649715"/>
                  <a:ext cx="787478" cy="35090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27" name="Google Shape;936;p5">
                  <a:extLst>
                    <a:ext uri="{FF2B5EF4-FFF2-40B4-BE49-F238E27FC236}">
                      <a16:creationId xmlns:a16="http://schemas.microsoft.com/office/drawing/2014/main" id="{4D1806F3-C123-46F9-AAB5-D9DF983ECFC2}"/>
                    </a:ext>
                  </a:extLst>
                </xdr:cNvPr>
                <xdr:cNvSpPr txBox="1"/>
              </xdr:nvSpPr>
              <xdr:spPr>
                <a:xfrm>
                  <a:off x="5159819" y="3653965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80cm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60cm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23" name="Google Shape;409;p2">
              <a:extLst>
                <a:ext uri="{FF2B5EF4-FFF2-40B4-BE49-F238E27FC236}">
                  <a16:creationId xmlns:a16="http://schemas.microsoft.com/office/drawing/2014/main" id="{D805E2C7-AAA5-4ACB-5336-F595865A8A33}"/>
                </a:ext>
              </a:extLst>
            </xdr:cNvPr>
            <xdr:cNvSpPr/>
          </xdr:nvSpPr>
          <xdr:spPr>
            <a:xfrm>
              <a:off x="5248025" y="2886371"/>
              <a:ext cx="649260" cy="794814"/>
            </a:xfrm>
            <a:prstGeom prst="rect">
              <a:avLst/>
            </a:prstGeom>
            <a:blipFill rotWithShape="1">
              <a:blip xmlns:r="http://schemas.openxmlformats.org/officeDocument/2006/relationships" r:embed="rId11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 b="1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</xdr:grpSp>
    <xdr:clientData/>
  </xdr:twoCellAnchor>
  <xdr:twoCellAnchor editAs="oneCell">
    <xdr:from>
      <xdr:col>11</xdr:col>
      <xdr:colOff>1</xdr:colOff>
      <xdr:row>55</xdr:row>
      <xdr:rowOff>60668</xdr:rowOff>
    </xdr:from>
    <xdr:to>
      <xdr:col>14</xdr:col>
      <xdr:colOff>10585</xdr:colOff>
      <xdr:row>59</xdr:row>
      <xdr:rowOff>132405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C29D993C-CB80-0260-FE89-AE3A854C2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44834" y="11395418"/>
          <a:ext cx="2264834" cy="749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Users/JoseMiguel/Documents/Codigos%20Postales/PostCode_MasterList%20v3.xls" TargetMode="External"/><Relationship Id="rId1" Type="http://schemas.openxmlformats.org/officeDocument/2006/relationships/externalLinkPath" Target="/Users/JoseMiguel/Documents/Codigos%20Postales/PostCode_MasterList%20v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ostCode Masterlist ES"/>
      <sheetName val="Cambios"/>
      <sheetName val="Tipos de Servicios"/>
      <sheetName val="Libro de Servicios ES"/>
      <sheetName val="PostCode MasterList PT"/>
      <sheetName val="Libro de Servicios PT"/>
      <sheetName val="Hoja1"/>
      <sheetName val="Hoja2"/>
    </sheetNames>
    <sheetDataSet>
      <sheetData sheetId="0"/>
      <sheetData sheetId="1"/>
      <sheetData sheetId="2"/>
      <sheetData sheetId="3"/>
      <sheetData sheetId="4">
        <row r="3">
          <cell r="A3">
            <v>1000</v>
          </cell>
          <cell r="B3">
            <v>570</v>
          </cell>
          <cell r="C3">
            <v>6</v>
          </cell>
          <cell r="D3" t="str">
            <v>YES</v>
          </cell>
          <cell r="E3" t="str">
            <v>NO</v>
          </cell>
          <cell r="F3" t="str">
            <v>YES</v>
          </cell>
          <cell r="G3" t="str">
            <v>NO</v>
          </cell>
          <cell r="H3" t="str">
            <v>YES</v>
          </cell>
          <cell r="I3" t="str">
            <v>YES</v>
          </cell>
          <cell r="J3" t="str">
            <v>NO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NO</v>
          </cell>
        </row>
        <row r="4">
          <cell r="A4">
            <v>1003</v>
          </cell>
          <cell r="B4">
            <v>570</v>
          </cell>
          <cell r="C4">
            <v>6</v>
          </cell>
          <cell r="D4" t="str">
            <v>YES</v>
          </cell>
          <cell r="E4" t="str">
            <v>NO</v>
          </cell>
          <cell r="F4" t="str">
            <v>YES</v>
          </cell>
          <cell r="G4" t="str">
            <v>NO</v>
          </cell>
          <cell r="H4" t="str">
            <v>YES</v>
          </cell>
          <cell r="I4" t="str">
            <v>YES</v>
          </cell>
          <cell r="J4" t="str">
            <v>NO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NO</v>
          </cell>
        </row>
        <row r="5">
          <cell r="A5">
            <v>1049</v>
          </cell>
          <cell r="B5">
            <v>570</v>
          </cell>
          <cell r="C5">
            <v>6</v>
          </cell>
          <cell r="D5" t="str">
            <v>YES</v>
          </cell>
          <cell r="E5" t="str">
            <v>NO</v>
          </cell>
          <cell r="F5" t="str">
            <v>YES</v>
          </cell>
          <cell r="G5" t="str">
            <v>NO</v>
          </cell>
          <cell r="H5" t="str">
            <v>YES</v>
          </cell>
          <cell r="I5" t="str">
            <v>YES</v>
          </cell>
          <cell r="J5" t="str">
            <v>NO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NO</v>
          </cell>
        </row>
        <row r="6">
          <cell r="A6">
            <v>1050</v>
          </cell>
          <cell r="B6">
            <v>570</v>
          </cell>
          <cell r="C6">
            <v>6</v>
          </cell>
          <cell r="D6" t="str">
            <v>YES</v>
          </cell>
          <cell r="E6" t="str">
            <v>NO</v>
          </cell>
          <cell r="F6" t="str">
            <v>YES</v>
          </cell>
          <cell r="G6" t="str">
            <v>NO</v>
          </cell>
          <cell r="H6" t="str">
            <v>YES</v>
          </cell>
          <cell r="I6" t="str">
            <v>YES</v>
          </cell>
          <cell r="J6" t="str">
            <v>NO</v>
          </cell>
          <cell r="K6" t="str">
            <v>YES</v>
          </cell>
          <cell r="L6" t="str">
            <v>YES</v>
          </cell>
          <cell r="M6" t="str">
            <v>NO</v>
          </cell>
          <cell r="N6" t="str">
            <v>NO</v>
          </cell>
        </row>
        <row r="7">
          <cell r="A7">
            <v>1066</v>
          </cell>
          <cell r="B7">
            <v>570</v>
          </cell>
          <cell r="C7">
            <v>6</v>
          </cell>
          <cell r="D7" t="str">
            <v>YES</v>
          </cell>
          <cell r="E7" t="str">
            <v>NO</v>
          </cell>
          <cell r="F7" t="str">
            <v>YES</v>
          </cell>
          <cell r="G7" t="str">
            <v>NO</v>
          </cell>
          <cell r="H7" t="str">
            <v>YES</v>
          </cell>
          <cell r="I7" t="str">
            <v>YES</v>
          </cell>
          <cell r="J7" t="str">
            <v>NO</v>
          </cell>
          <cell r="K7" t="str">
            <v>YES</v>
          </cell>
          <cell r="L7" t="str">
            <v>YES</v>
          </cell>
          <cell r="M7" t="str">
            <v>NO</v>
          </cell>
          <cell r="N7" t="str">
            <v>NO</v>
          </cell>
        </row>
        <row r="8">
          <cell r="A8">
            <v>1067</v>
          </cell>
          <cell r="B8">
            <v>570</v>
          </cell>
          <cell r="C8">
            <v>6</v>
          </cell>
          <cell r="D8" t="str">
            <v>YES</v>
          </cell>
          <cell r="E8" t="str">
            <v>NO</v>
          </cell>
          <cell r="F8" t="str">
            <v>YES</v>
          </cell>
          <cell r="G8" t="str">
            <v>NO</v>
          </cell>
          <cell r="H8" t="str">
            <v>YES</v>
          </cell>
          <cell r="I8" t="str">
            <v>YES</v>
          </cell>
          <cell r="J8" t="str">
            <v>NO</v>
          </cell>
          <cell r="K8" t="str">
            <v>YES</v>
          </cell>
          <cell r="L8" t="str">
            <v>YES</v>
          </cell>
          <cell r="M8" t="str">
            <v>NO</v>
          </cell>
          <cell r="N8" t="str">
            <v>NO</v>
          </cell>
        </row>
        <row r="9">
          <cell r="A9">
            <v>1068</v>
          </cell>
          <cell r="B9">
            <v>570</v>
          </cell>
          <cell r="C9">
            <v>6</v>
          </cell>
          <cell r="D9" t="str">
            <v>YES</v>
          </cell>
          <cell r="E9" t="str">
            <v>NO</v>
          </cell>
          <cell r="F9" t="str">
            <v>YES</v>
          </cell>
          <cell r="G9" t="str">
            <v>NO</v>
          </cell>
          <cell r="H9" t="str">
            <v>YES</v>
          </cell>
          <cell r="I9" t="str">
            <v>YES</v>
          </cell>
          <cell r="J9" t="str">
            <v>NO</v>
          </cell>
          <cell r="K9" t="str">
            <v>YES</v>
          </cell>
          <cell r="L9" t="str">
            <v>YES</v>
          </cell>
          <cell r="M9" t="str">
            <v>NO</v>
          </cell>
          <cell r="N9" t="str">
            <v>NO</v>
          </cell>
        </row>
        <row r="10">
          <cell r="A10">
            <v>1069</v>
          </cell>
          <cell r="B10">
            <v>570</v>
          </cell>
          <cell r="C10">
            <v>6</v>
          </cell>
          <cell r="D10" t="str">
            <v>YES</v>
          </cell>
          <cell r="E10" t="str">
            <v>NO</v>
          </cell>
          <cell r="F10" t="str">
            <v>YES</v>
          </cell>
          <cell r="G10" t="str">
            <v>NO</v>
          </cell>
          <cell r="H10" t="str">
            <v>YES</v>
          </cell>
          <cell r="I10" t="str">
            <v>YES</v>
          </cell>
          <cell r="J10" t="str">
            <v>NO</v>
          </cell>
          <cell r="K10" t="str">
            <v>YES</v>
          </cell>
          <cell r="L10" t="str">
            <v>YES</v>
          </cell>
          <cell r="M10" t="str">
            <v>NO</v>
          </cell>
          <cell r="N10" t="str">
            <v>NO</v>
          </cell>
        </row>
        <row r="11">
          <cell r="A11">
            <v>1070</v>
          </cell>
          <cell r="B11">
            <v>570</v>
          </cell>
          <cell r="C11">
            <v>6</v>
          </cell>
          <cell r="D11" t="str">
            <v>YES</v>
          </cell>
          <cell r="E11" t="str">
            <v>NO</v>
          </cell>
          <cell r="F11" t="str">
            <v>YES</v>
          </cell>
          <cell r="G11" t="str">
            <v>NO</v>
          </cell>
          <cell r="H11" t="str">
            <v>YES</v>
          </cell>
          <cell r="I11" t="str">
            <v>YES</v>
          </cell>
          <cell r="J11" t="str">
            <v>NO</v>
          </cell>
          <cell r="K11" t="str">
            <v>YES</v>
          </cell>
          <cell r="L11" t="str">
            <v>YES</v>
          </cell>
          <cell r="M11" t="str">
            <v>NO</v>
          </cell>
          <cell r="N11" t="str">
            <v>NO</v>
          </cell>
        </row>
        <row r="12">
          <cell r="A12">
            <v>1092</v>
          </cell>
          <cell r="B12">
            <v>570</v>
          </cell>
          <cell r="C12">
            <v>6</v>
          </cell>
          <cell r="D12" t="str">
            <v>YES</v>
          </cell>
          <cell r="E12" t="str">
            <v>NO</v>
          </cell>
          <cell r="F12" t="str">
            <v>YES</v>
          </cell>
          <cell r="G12" t="str">
            <v>NO</v>
          </cell>
          <cell r="H12" t="str">
            <v>YES</v>
          </cell>
          <cell r="I12" t="str">
            <v>YES</v>
          </cell>
          <cell r="J12" t="str">
            <v>NO</v>
          </cell>
          <cell r="K12" t="str">
            <v>YES</v>
          </cell>
          <cell r="L12" t="str">
            <v>YES</v>
          </cell>
          <cell r="M12" t="str">
            <v>NO</v>
          </cell>
          <cell r="N12" t="str">
            <v>NO</v>
          </cell>
        </row>
        <row r="13">
          <cell r="A13">
            <v>1098</v>
          </cell>
          <cell r="B13">
            <v>570</v>
          </cell>
          <cell r="C13">
            <v>6</v>
          </cell>
          <cell r="D13" t="str">
            <v>YES</v>
          </cell>
          <cell r="E13" t="str">
            <v>NO</v>
          </cell>
          <cell r="F13" t="str">
            <v>YES</v>
          </cell>
          <cell r="G13" t="str">
            <v>NO</v>
          </cell>
          <cell r="H13" t="str">
            <v>YES</v>
          </cell>
          <cell r="I13" t="str">
            <v>YES</v>
          </cell>
          <cell r="J13" t="str">
            <v>NO</v>
          </cell>
          <cell r="K13" t="str">
            <v>YES</v>
          </cell>
          <cell r="L13" t="str">
            <v>YES</v>
          </cell>
          <cell r="M13" t="str">
            <v>NO</v>
          </cell>
          <cell r="N13" t="str">
            <v>NO</v>
          </cell>
        </row>
        <row r="14">
          <cell r="A14">
            <v>1099</v>
          </cell>
          <cell r="B14">
            <v>570</v>
          </cell>
          <cell r="C14">
            <v>6</v>
          </cell>
          <cell r="D14" t="str">
            <v>YES</v>
          </cell>
          <cell r="E14" t="str">
            <v>NO</v>
          </cell>
          <cell r="F14" t="str">
            <v>YES</v>
          </cell>
          <cell r="G14" t="str">
            <v>NO</v>
          </cell>
          <cell r="H14" t="str">
            <v>YES</v>
          </cell>
          <cell r="I14" t="str">
            <v>YES</v>
          </cell>
          <cell r="J14" t="str">
            <v>NO</v>
          </cell>
          <cell r="K14" t="str">
            <v>YES</v>
          </cell>
          <cell r="L14" t="str">
            <v>YES</v>
          </cell>
          <cell r="M14" t="str">
            <v>NO</v>
          </cell>
          <cell r="N14" t="str">
            <v>NO</v>
          </cell>
        </row>
        <row r="15">
          <cell r="A15">
            <v>1100</v>
          </cell>
          <cell r="B15">
            <v>570</v>
          </cell>
          <cell r="C15">
            <v>6</v>
          </cell>
          <cell r="D15" t="str">
            <v>YES</v>
          </cell>
          <cell r="E15" t="str">
            <v>NO</v>
          </cell>
          <cell r="F15" t="str">
            <v>YES</v>
          </cell>
          <cell r="G15" t="str">
            <v>NO</v>
          </cell>
          <cell r="H15" t="str">
            <v>YES</v>
          </cell>
          <cell r="I15" t="str">
            <v>YES</v>
          </cell>
          <cell r="J15" t="str">
            <v>NO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NO</v>
          </cell>
        </row>
        <row r="16">
          <cell r="A16">
            <v>1149</v>
          </cell>
          <cell r="B16">
            <v>570</v>
          </cell>
          <cell r="C16">
            <v>6</v>
          </cell>
          <cell r="D16" t="str">
            <v>YES</v>
          </cell>
          <cell r="E16" t="str">
            <v>NO</v>
          </cell>
          <cell r="F16" t="str">
            <v>YES</v>
          </cell>
          <cell r="G16" t="str">
            <v>NO</v>
          </cell>
          <cell r="H16" t="str">
            <v>YES</v>
          </cell>
          <cell r="I16" t="str">
            <v>YES</v>
          </cell>
          <cell r="J16" t="str">
            <v>NO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NO</v>
          </cell>
        </row>
        <row r="17">
          <cell r="A17">
            <v>1150</v>
          </cell>
          <cell r="B17">
            <v>570</v>
          </cell>
          <cell r="C17">
            <v>6</v>
          </cell>
          <cell r="D17" t="str">
            <v>YES</v>
          </cell>
          <cell r="E17" t="str">
            <v>NO</v>
          </cell>
          <cell r="F17" t="str">
            <v>YES</v>
          </cell>
          <cell r="G17" t="str">
            <v>NO</v>
          </cell>
          <cell r="H17" t="str">
            <v>YES</v>
          </cell>
          <cell r="I17" t="str">
            <v>YES</v>
          </cell>
          <cell r="J17" t="str">
            <v>NO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NO</v>
          </cell>
        </row>
        <row r="18">
          <cell r="A18">
            <v>1166</v>
          </cell>
          <cell r="B18">
            <v>570</v>
          </cell>
          <cell r="C18">
            <v>6</v>
          </cell>
          <cell r="D18" t="str">
            <v>YES</v>
          </cell>
          <cell r="E18" t="str">
            <v>NO</v>
          </cell>
          <cell r="F18" t="str">
            <v>YES</v>
          </cell>
          <cell r="G18" t="str">
            <v>NO</v>
          </cell>
          <cell r="H18" t="str">
            <v>YES</v>
          </cell>
          <cell r="I18" t="str">
            <v>YES</v>
          </cell>
          <cell r="J18" t="str">
            <v>NO</v>
          </cell>
          <cell r="K18" t="str">
            <v>YES</v>
          </cell>
          <cell r="L18" t="str">
            <v>YES</v>
          </cell>
          <cell r="M18" t="str">
            <v>NO</v>
          </cell>
          <cell r="N18" t="str">
            <v>NO</v>
          </cell>
        </row>
        <row r="19">
          <cell r="A19">
            <v>1167</v>
          </cell>
          <cell r="B19">
            <v>570</v>
          </cell>
          <cell r="C19">
            <v>6</v>
          </cell>
          <cell r="D19" t="str">
            <v>YES</v>
          </cell>
          <cell r="E19" t="str">
            <v>NO</v>
          </cell>
          <cell r="F19" t="str">
            <v>YES</v>
          </cell>
          <cell r="G19" t="str">
            <v>NO</v>
          </cell>
          <cell r="H19" t="str">
            <v>YES</v>
          </cell>
          <cell r="I19" t="str">
            <v>YES</v>
          </cell>
          <cell r="J19" t="str">
            <v>NO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NO</v>
          </cell>
        </row>
        <row r="20">
          <cell r="A20">
            <v>1169</v>
          </cell>
          <cell r="B20">
            <v>570</v>
          </cell>
          <cell r="C20">
            <v>6</v>
          </cell>
          <cell r="D20" t="str">
            <v>YES</v>
          </cell>
          <cell r="E20" t="str">
            <v>NO</v>
          </cell>
          <cell r="F20" t="str">
            <v>YES</v>
          </cell>
          <cell r="G20" t="str">
            <v>NO</v>
          </cell>
          <cell r="H20" t="str">
            <v>YES</v>
          </cell>
          <cell r="I20" t="str">
            <v>YES</v>
          </cell>
          <cell r="J20" t="str">
            <v>NO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NO</v>
          </cell>
        </row>
        <row r="21">
          <cell r="A21">
            <v>1170</v>
          </cell>
          <cell r="B21">
            <v>570</v>
          </cell>
          <cell r="C21">
            <v>6</v>
          </cell>
          <cell r="D21" t="str">
            <v>YES</v>
          </cell>
          <cell r="E21" t="str">
            <v>NO</v>
          </cell>
          <cell r="F21" t="str">
            <v>YES</v>
          </cell>
          <cell r="G21" t="str">
            <v>NO</v>
          </cell>
          <cell r="H21" t="str">
            <v>YES</v>
          </cell>
          <cell r="I21" t="str">
            <v>YES</v>
          </cell>
          <cell r="J21" t="str">
            <v>NO</v>
          </cell>
          <cell r="K21" t="str">
            <v>YES</v>
          </cell>
          <cell r="L21" t="str">
            <v>YES</v>
          </cell>
          <cell r="M21" t="str">
            <v>NO</v>
          </cell>
          <cell r="N21" t="str">
            <v>NO</v>
          </cell>
        </row>
        <row r="22">
          <cell r="A22">
            <v>1199</v>
          </cell>
          <cell r="B22">
            <v>570</v>
          </cell>
          <cell r="C22">
            <v>6</v>
          </cell>
          <cell r="D22" t="str">
            <v>YES</v>
          </cell>
          <cell r="E22" t="str">
            <v>NO</v>
          </cell>
          <cell r="F22" t="str">
            <v>YES</v>
          </cell>
          <cell r="G22" t="str">
            <v>NO</v>
          </cell>
          <cell r="H22" t="str">
            <v>YES</v>
          </cell>
          <cell r="I22" t="str">
            <v>YES</v>
          </cell>
          <cell r="J22" t="str">
            <v>NO</v>
          </cell>
          <cell r="K22" t="str">
            <v>YES</v>
          </cell>
          <cell r="L22" t="str">
            <v>YES</v>
          </cell>
          <cell r="M22" t="str">
            <v>NO</v>
          </cell>
          <cell r="N22" t="str">
            <v>NO</v>
          </cell>
        </row>
        <row r="23">
          <cell r="A23">
            <v>1200</v>
          </cell>
          <cell r="B23">
            <v>570</v>
          </cell>
          <cell r="C23">
            <v>6</v>
          </cell>
          <cell r="D23" t="str">
            <v>YES</v>
          </cell>
          <cell r="E23" t="str">
            <v>NO</v>
          </cell>
          <cell r="F23" t="str">
            <v>YES</v>
          </cell>
          <cell r="G23" t="str">
            <v>NO</v>
          </cell>
          <cell r="H23" t="str">
            <v>YES</v>
          </cell>
          <cell r="I23" t="str">
            <v>YES</v>
          </cell>
          <cell r="J23" t="str">
            <v>NO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NO</v>
          </cell>
        </row>
        <row r="24">
          <cell r="A24">
            <v>1208</v>
          </cell>
          <cell r="B24">
            <v>570</v>
          </cell>
          <cell r="C24">
            <v>6</v>
          </cell>
          <cell r="D24" t="str">
            <v>YES</v>
          </cell>
          <cell r="E24" t="str">
            <v>NO</v>
          </cell>
          <cell r="F24" t="str">
            <v>YES</v>
          </cell>
          <cell r="G24" t="str">
            <v>NO</v>
          </cell>
          <cell r="H24" t="str">
            <v>YES</v>
          </cell>
          <cell r="I24" t="str">
            <v>YES</v>
          </cell>
          <cell r="J24" t="str">
            <v>NO</v>
          </cell>
          <cell r="K24" t="str">
            <v>YES</v>
          </cell>
          <cell r="L24" t="str">
            <v>YES</v>
          </cell>
          <cell r="M24" t="str">
            <v>NO</v>
          </cell>
          <cell r="N24" t="str">
            <v>NO</v>
          </cell>
        </row>
        <row r="25">
          <cell r="A25">
            <v>1209</v>
          </cell>
          <cell r="B25">
            <v>570</v>
          </cell>
          <cell r="C25">
            <v>6</v>
          </cell>
          <cell r="D25" t="str">
            <v>YES</v>
          </cell>
          <cell r="E25" t="str">
            <v>NO</v>
          </cell>
          <cell r="F25" t="str">
            <v>YES</v>
          </cell>
          <cell r="G25" t="str">
            <v>NO</v>
          </cell>
          <cell r="H25" t="str">
            <v>YES</v>
          </cell>
          <cell r="I25" t="str">
            <v>YES</v>
          </cell>
          <cell r="J25" t="str">
            <v>NO</v>
          </cell>
          <cell r="K25" t="str">
            <v>YES</v>
          </cell>
          <cell r="L25" t="str">
            <v>YES</v>
          </cell>
          <cell r="M25" t="str">
            <v>NO</v>
          </cell>
          <cell r="N25" t="str">
            <v>NO</v>
          </cell>
        </row>
        <row r="26">
          <cell r="A26">
            <v>1249</v>
          </cell>
          <cell r="B26">
            <v>570</v>
          </cell>
          <cell r="C26">
            <v>6</v>
          </cell>
          <cell r="D26" t="str">
            <v>YES</v>
          </cell>
          <cell r="E26" t="str">
            <v>NO</v>
          </cell>
          <cell r="F26" t="str">
            <v>YES</v>
          </cell>
          <cell r="G26" t="str">
            <v>NO</v>
          </cell>
          <cell r="H26" t="str">
            <v>YES</v>
          </cell>
          <cell r="I26" t="str">
            <v>YES</v>
          </cell>
          <cell r="J26" t="str">
            <v>NO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NO</v>
          </cell>
        </row>
        <row r="27">
          <cell r="A27">
            <v>1250</v>
          </cell>
          <cell r="B27">
            <v>570</v>
          </cell>
          <cell r="C27">
            <v>6</v>
          </cell>
          <cell r="D27" t="str">
            <v>YES</v>
          </cell>
          <cell r="E27" t="str">
            <v>NO</v>
          </cell>
          <cell r="F27" t="str">
            <v>YES</v>
          </cell>
          <cell r="G27" t="str">
            <v>NO</v>
          </cell>
          <cell r="H27" t="str">
            <v>YES</v>
          </cell>
          <cell r="I27" t="str">
            <v>YES</v>
          </cell>
          <cell r="J27" t="str">
            <v>NO</v>
          </cell>
          <cell r="K27" t="str">
            <v>YES</v>
          </cell>
          <cell r="L27" t="str">
            <v>YES</v>
          </cell>
          <cell r="M27" t="str">
            <v>NO</v>
          </cell>
          <cell r="N27" t="str">
            <v>NO</v>
          </cell>
        </row>
        <row r="28">
          <cell r="A28">
            <v>1269</v>
          </cell>
          <cell r="B28">
            <v>570</v>
          </cell>
          <cell r="C28">
            <v>6</v>
          </cell>
          <cell r="D28" t="str">
            <v>YES</v>
          </cell>
          <cell r="E28" t="str">
            <v>NO</v>
          </cell>
          <cell r="F28" t="str">
            <v>YES</v>
          </cell>
          <cell r="G28" t="str">
            <v>NO</v>
          </cell>
          <cell r="H28" t="str">
            <v>YES</v>
          </cell>
          <cell r="I28" t="str">
            <v>YES</v>
          </cell>
          <cell r="J28" t="str">
            <v>NO</v>
          </cell>
          <cell r="K28" t="str">
            <v>YES</v>
          </cell>
          <cell r="L28" t="str">
            <v>YES</v>
          </cell>
          <cell r="M28" t="str">
            <v>NO</v>
          </cell>
          <cell r="N28" t="str">
            <v>NO</v>
          </cell>
        </row>
        <row r="29">
          <cell r="A29">
            <v>1300</v>
          </cell>
          <cell r="B29">
            <v>570</v>
          </cell>
          <cell r="C29">
            <v>6</v>
          </cell>
          <cell r="D29" t="str">
            <v>YES</v>
          </cell>
          <cell r="E29" t="str">
            <v>NO</v>
          </cell>
          <cell r="F29" t="str">
            <v>YES</v>
          </cell>
          <cell r="G29" t="str">
            <v>NO</v>
          </cell>
          <cell r="H29" t="str">
            <v>YES</v>
          </cell>
          <cell r="I29" t="str">
            <v>YES</v>
          </cell>
          <cell r="J29" t="str">
            <v>NO</v>
          </cell>
          <cell r="K29" t="str">
            <v>YES</v>
          </cell>
          <cell r="L29" t="str">
            <v>YES</v>
          </cell>
          <cell r="M29" t="str">
            <v>NO</v>
          </cell>
          <cell r="N29" t="str">
            <v>NO</v>
          </cell>
        </row>
        <row r="30">
          <cell r="A30">
            <v>1349</v>
          </cell>
          <cell r="B30">
            <v>570</v>
          </cell>
          <cell r="C30">
            <v>6</v>
          </cell>
          <cell r="D30" t="str">
            <v>YES</v>
          </cell>
          <cell r="E30" t="str">
            <v>NO</v>
          </cell>
          <cell r="F30" t="str">
            <v>YES</v>
          </cell>
          <cell r="G30" t="str">
            <v>NO</v>
          </cell>
          <cell r="H30" t="str">
            <v>YES</v>
          </cell>
          <cell r="I30" t="str">
            <v>YES</v>
          </cell>
          <cell r="J30" t="str">
            <v>NO</v>
          </cell>
          <cell r="K30" t="str">
            <v>YES</v>
          </cell>
          <cell r="L30" t="str">
            <v>YES</v>
          </cell>
          <cell r="M30" t="str">
            <v>NO</v>
          </cell>
          <cell r="N30" t="str">
            <v>NO</v>
          </cell>
        </row>
        <row r="31">
          <cell r="A31">
            <v>1350</v>
          </cell>
          <cell r="B31">
            <v>570</v>
          </cell>
          <cell r="C31">
            <v>6</v>
          </cell>
          <cell r="D31" t="str">
            <v>YES</v>
          </cell>
          <cell r="E31" t="str">
            <v>NO</v>
          </cell>
          <cell r="F31" t="str">
            <v>YES</v>
          </cell>
          <cell r="G31" t="str">
            <v>NO</v>
          </cell>
          <cell r="H31" t="str">
            <v>YES</v>
          </cell>
          <cell r="I31" t="str">
            <v>YES</v>
          </cell>
          <cell r="J31" t="str">
            <v>NO</v>
          </cell>
          <cell r="K31" t="str">
            <v>YES</v>
          </cell>
          <cell r="L31" t="str">
            <v>YES</v>
          </cell>
          <cell r="M31" t="str">
            <v>NO</v>
          </cell>
          <cell r="N31" t="str">
            <v>NO</v>
          </cell>
        </row>
        <row r="32">
          <cell r="A32">
            <v>1390</v>
          </cell>
          <cell r="B32">
            <v>570</v>
          </cell>
          <cell r="C32">
            <v>6</v>
          </cell>
          <cell r="D32" t="str">
            <v>YES</v>
          </cell>
          <cell r="E32" t="str">
            <v>NO</v>
          </cell>
          <cell r="F32" t="str">
            <v>YES</v>
          </cell>
          <cell r="G32" t="str">
            <v>NO</v>
          </cell>
          <cell r="H32" t="str">
            <v>YES</v>
          </cell>
          <cell r="I32" t="str">
            <v>YES</v>
          </cell>
          <cell r="J32" t="str">
            <v>NO</v>
          </cell>
          <cell r="K32" t="str">
            <v>YES</v>
          </cell>
          <cell r="L32" t="str">
            <v>YES</v>
          </cell>
          <cell r="M32" t="str">
            <v>NO</v>
          </cell>
          <cell r="N32" t="str">
            <v>NO</v>
          </cell>
        </row>
        <row r="33">
          <cell r="A33">
            <v>1399</v>
          </cell>
          <cell r="B33">
            <v>570</v>
          </cell>
          <cell r="C33">
            <v>6</v>
          </cell>
          <cell r="D33" t="str">
            <v>YES</v>
          </cell>
          <cell r="E33" t="str">
            <v>NO</v>
          </cell>
          <cell r="F33" t="str">
            <v>YES</v>
          </cell>
          <cell r="G33" t="str">
            <v>NO</v>
          </cell>
          <cell r="H33" t="str">
            <v>YES</v>
          </cell>
          <cell r="I33" t="str">
            <v>YES</v>
          </cell>
          <cell r="J33" t="str">
            <v>NO</v>
          </cell>
          <cell r="K33" t="str">
            <v>YES</v>
          </cell>
          <cell r="L33" t="str">
            <v>YES</v>
          </cell>
          <cell r="M33" t="str">
            <v>NO</v>
          </cell>
          <cell r="N33" t="str">
            <v>NO</v>
          </cell>
        </row>
        <row r="34">
          <cell r="A34">
            <v>1400</v>
          </cell>
          <cell r="B34">
            <v>570</v>
          </cell>
          <cell r="C34">
            <v>6</v>
          </cell>
          <cell r="D34" t="str">
            <v>YES</v>
          </cell>
          <cell r="E34" t="str">
            <v>NO</v>
          </cell>
          <cell r="F34" t="str">
            <v>YES</v>
          </cell>
          <cell r="G34" t="str">
            <v>NO</v>
          </cell>
          <cell r="H34" t="str">
            <v>YES</v>
          </cell>
          <cell r="I34" t="str">
            <v>YES</v>
          </cell>
          <cell r="J34" t="str">
            <v>NO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NO</v>
          </cell>
        </row>
        <row r="35">
          <cell r="A35">
            <v>1449</v>
          </cell>
          <cell r="B35">
            <v>570</v>
          </cell>
          <cell r="C35">
            <v>6</v>
          </cell>
          <cell r="D35" t="str">
            <v>YES</v>
          </cell>
          <cell r="E35" t="str">
            <v>NO</v>
          </cell>
          <cell r="F35" t="str">
            <v>YES</v>
          </cell>
          <cell r="G35" t="str">
            <v>NO</v>
          </cell>
          <cell r="H35" t="str">
            <v>YES</v>
          </cell>
          <cell r="I35" t="str">
            <v>YES</v>
          </cell>
          <cell r="J35" t="str">
            <v>NO</v>
          </cell>
          <cell r="K35" t="str">
            <v>YES</v>
          </cell>
          <cell r="L35" t="str">
            <v>YES</v>
          </cell>
          <cell r="M35" t="str">
            <v>NO</v>
          </cell>
          <cell r="N35" t="str">
            <v>NO</v>
          </cell>
        </row>
        <row r="36">
          <cell r="A36">
            <v>1495</v>
          </cell>
          <cell r="B36">
            <v>570</v>
          </cell>
          <cell r="C36">
            <v>6</v>
          </cell>
          <cell r="D36" t="str">
            <v>YES</v>
          </cell>
          <cell r="E36" t="str">
            <v>NO</v>
          </cell>
          <cell r="F36" t="str">
            <v>YES</v>
          </cell>
          <cell r="G36" t="str">
            <v>NO</v>
          </cell>
          <cell r="H36" t="str">
            <v>YES</v>
          </cell>
          <cell r="I36" t="str">
            <v>YES</v>
          </cell>
          <cell r="J36" t="str">
            <v>NO</v>
          </cell>
          <cell r="K36" t="str">
            <v>YES</v>
          </cell>
          <cell r="L36" t="str">
            <v>YES</v>
          </cell>
          <cell r="M36" t="str">
            <v>NO</v>
          </cell>
          <cell r="N36" t="str">
            <v>NO</v>
          </cell>
        </row>
        <row r="37">
          <cell r="A37">
            <v>1496</v>
          </cell>
          <cell r="B37">
            <v>570</v>
          </cell>
          <cell r="C37">
            <v>6</v>
          </cell>
          <cell r="D37" t="str">
            <v>YES</v>
          </cell>
          <cell r="E37" t="str">
            <v>NO</v>
          </cell>
          <cell r="F37" t="str">
            <v>YES</v>
          </cell>
          <cell r="G37" t="str">
            <v>NO</v>
          </cell>
          <cell r="H37" t="str">
            <v>YES</v>
          </cell>
          <cell r="I37" t="str">
            <v>YES</v>
          </cell>
          <cell r="J37" t="str">
            <v>NO</v>
          </cell>
          <cell r="K37" t="str">
            <v>YES</v>
          </cell>
          <cell r="L37" t="str">
            <v>YES</v>
          </cell>
          <cell r="M37" t="str">
            <v>NO</v>
          </cell>
          <cell r="N37" t="str">
            <v>NO</v>
          </cell>
        </row>
        <row r="38">
          <cell r="A38">
            <v>1499</v>
          </cell>
          <cell r="B38">
            <v>570</v>
          </cell>
          <cell r="C38">
            <v>6</v>
          </cell>
          <cell r="D38" t="str">
            <v>YES</v>
          </cell>
          <cell r="E38" t="str">
            <v>NO</v>
          </cell>
          <cell r="F38" t="str">
            <v>YES</v>
          </cell>
          <cell r="G38" t="str">
            <v>NO</v>
          </cell>
          <cell r="H38" t="str">
            <v>YES</v>
          </cell>
          <cell r="I38" t="str">
            <v>YES</v>
          </cell>
          <cell r="J38" t="str">
            <v>NO</v>
          </cell>
          <cell r="K38" t="str">
            <v>YES</v>
          </cell>
          <cell r="L38" t="str">
            <v>YES</v>
          </cell>
          <cell r="M38" t="str">
            <v>NO</v>
          </cell>
          <cell r="N38" t="str">
            <v>NO</v>
          </cell>
        </row>
        <row r="39">
          <cell r="A39">
            <v>1500</v>
          </cell>
          <cell r="B39">
            <v>570</v>
          </cell>
          <cell r="C39">
            <v>6</v>
          </cell>
          <cell r="D39" t="str">
            <v>YES</v>
          </cell>
          <cell r="E39" t="str">
            <v>NO</v>
          </cell>
          <cell r="F39" t="str">
            <v>YES</v>
          </cell>
          <cell r="G39" t="str">
            <v>NO</v>
          </cell>
          <cell r="H39" t="str">
            <v>YES</v>
          </cell>
          <cell r="I39" t="str">
            <v>YES</v>
          </cell>
          <cell r="J39" t="str">
            <v>NO</v>
          </cell>
          <cell r="K39" t="str">
            <v>YES</v>
          </cell>
          <cell r="L39" t="str">
            <v>YES</v>
          </cell>
          <cell r="M39" t="str">
            <v>NO</v>
          </cell>
          <cell r="N39" t="str">
            <v>NO</v>
          </cell>
        </row>
        <row r="40">
          <cell r="A40">
            <v>1549</v>
          </cell>
          <cell r="B40">
            <v>570</v>
          </cell>
          <cell r="C40">
            <v>6</v>
          </cell>
          <cell r="D40" t="str">
            <v>YES</v>
          </cell>
          <cell r="E40" t="str">
            <v>NO</v>
          </cell>
          <cell r="F40" t="str">
            <v>YES</v>
          </cell>
          <cell r="G40" t="str">
            <v>NO</v>
          </cell>
          <cell r="H40" t="str">
            <v>YES</v>
          </cell>
          <cell r="I40" t="str">
            <v>YES</v>
          </cell>
          <cell r="J40" t="str">
            <v>NO</v>
          </cell>
          <cell r="K40" t="str">
            <v>YES</v>
          </cell>
          <cell r="L40" t="str">
            <v>YES</v>
          </cell>
          <cell r="M40" t="str">
            <v>NO</v>
          </cell>
          <cell r="N40" t="str">
            <v>NO</v>
          </cell>
        </row>
        <row r="41">
          <cell r="A41">
            <v>1600</v>
          </cell>
          <cell r="B41">
            <v>570</v>
          </cell>
          <cell r="C41">
            <v>6</v>
          </cell>
          <cell r="D41" t="str">
            <v>YES</v>
          </cell>
          <cell r="E41" t="str">
            <v>NO</v>
          </cell>
          <cell r="F41" t="str">
            <v>YES</v>
          </cell>
          <cell r="G41" t="str">
            <v>NO</v>
          </cell>
          <cell r="H41" t="str">
            <v>YES</v>
          </cell>
          <cell r="I41" t="str">
            <v>YES</v>
          </cell>
          <cell r="J41" t="str">
            <v>NO</v>
          </cell>
          <cell r="K41" t="str">
            <v>YES</v>
          </cell>
          <cell r="L41" t="str">
            <v>YES</v>
          </cell>
          <cell r="M41" t="str">
            <v>NO</v>
          </cell>
          <cell r="N41" t="str">
            <v>NO</v>
          </cell>
        </row>
        <row r="42">
          <cell r="A42">
            <v>1649</v>
          </cell>
          <cell r="B42">
            <v>570</v>
          </cell>
          <cell r="C42">
            <v>6</v>
          </cell>
          <cell r="D42" t="str">
            <v>YES</v>
          </cell>
          <cell r="E42" t="str">
            <v>NO</v>
          </cell>
          <cell r="F42" t="str">
            <v>YES</v>
          </cell>
          <cell r="G42" t="str">
            <v>NO</v>
          </cell>
          <cell r="H42" t="str">
            <v>YES</v>
          </cell>
          <cell r="I42" t="str">
            <v>YES</v>
          </cell>
          <cell r="J42" t="str">
            <v>NO</v>
          </cell>
          <cell r="K42" t="str">
            <v>YES</v>
          </cell>
          <cell r="L42" t="str">
            <v>YES</v>
          </cell>
          <cell r="M42" t="str">
            <v>NO</v>
          </cell>
          <cell r="N42" t="str">
            <v>NO</v>
          </cell>
        </row>
        <row r="43">
          <cell r="A43">
            <v>1675</v>
          </cell>
          <cell r="B43">
            <v>570</v>
          </cell>
          <cell r="C43">
            <v>6</v>
          </cell>
          <cell r="D43" t="str">
            <v>YES</v>
          </cell>
          <cell r="E43" t="str">
            <v>NO</v>
          </cell>
          <cell r="F43" t="str">
            <v>YES</v>
          </cell>
          <cell r="G43" t="str">
            <v>NO</v>
          </cell>
          <cell r="H43" t="str">
            <v>YES</v>
          </cell>
          <cell r="I43" t="str">
            <v>YES</v>
          </cell>
          <cell r="J43" t="str">
            <v>NO</v>
          </cell>
          <cell r="K43" t="str">
            <v>YES</v>
          </cell>
          <cell r="L43" t="str">
            <v>YES</v>
          </cell>
          <cell r="M43" t="str">
            <v>NO</v>
          </cell>
          <cell r="N43" t="str">
            <v>NO</v>
          </cell>
        </row>
        <row r="44">
          <cell r="A44">
            <v>1679</v>
          </cell>
          <cell r="B44">
            <v>570</v>
          </cell>
          <cell r="C44">
            <v>6</v>
          </cell>
          <cell r="D44" t="str">
            <v>YES</v>
          </cell>
          <cell r="E44" t="str">
            <v>NO</v>
          </cell>
          <cell r="F44" t="str">
            <v>YES</v>
          </cell>
          <cell r="G44" t="str">
            <v>NO</v>
          </cell>
          <cell r="H44" t="str">
            <v>YES</v>
          </cell>
          <cell r="I44" t="str">
            <v>YES</v>
          </cell>
          <cell r="J44" t="str">
            <v>NO</v>
          </cell>
          <cell r="K44" t="str">
            <v>YES</v>
          </cell>
          <cell r="L44" t="str">
            <v>YES</v>
          </cell>
          <cell r="M44" t="str">
            <v>NO</v>
          </cell>
          <cell r="N44" t="str">
            <v>NO</v>
          </cell>
        </row>
        <row r="45">
          <cell r="A45">
            <v>1685</v>
          </cell>
          <cell r="B45">
            <v>570</v>
          </cell>
          <cell r="C45">
            <v>6</v>
          </cell>
          <cell r="D45" t="str">
            <v>YES</v>
          </cell>
          <cell r="E45" t="str">
            <v>NO</v>
          </cell>
          <cell r="F45" t="str">
            <v>YES</v>
          </cell>
          <cell r="G45" t="str">
            <v>NO</v>
          </cell>
          <cell r="H45" t="str">
            <v>YES</v>
          </cell>
          <cell r="I45" t="str">
            <v>YES</v>
          </cell>
          <cell r="J45" t="str">
            <v>NO</v>
          </cell>
          <cell r="K45" t="str">
            <v>YES</v>
          </cell>
          <cell r="L45" t="str">
            <v>YES</v>
          </cell>
          <cell r="M45" t="str">
            <v>NO</v>
          </cell>
          <cell r="N45" t="str">
            <v>NO</v>
          </cell>
        </row>
        <row r="46">
          <cell r="A46">
            <v>1689</v>
          </cell>
          <cell r="B46">
            <v>570</v>
          </cell>
          <cell r="C46">
            <v>6</v>
          </cell>
          <cell r="D46" t="str">
            <v>YES</v>
          </cell>
          <cell r="E46" t="str">
            <v>NO</v>
          </cell>
          <cell r="F46" t="str">
            <v>YES</v>
          </cell>
          <cell r="G46" t="str">
            <v>NO</v>
          </cell>
          <cell r="H46" t="str">
            <v>YES</v>
          </cell>
          <cell r="I46" t="str">
            <v>YES</v>
          </cell>
          <cell r="J46" t="str">
            <v>NO</v>
          </cell>
          <cell r="K46" t="str">
            <v>YES</v>
          </cell>
          <cell r="L46" t="str">
            <v>YES</v>
          </cell>
          <cell r="M46" t="str">
            <v>NO</v>
          </cell>
          <cell r="N46" t="str">
            <v>NO</v>
          </cell>
        </row>
        <row r="47">
          <cell r="A47">
            <v>1700</v>
          </cell>
          <cell r="B47">
            <v>570</v>
          </cell>
          <cell r="C47">
            <v>6</v>
          </cell>
          <cell r="D47" t="str">
            <v>YES</v>
          </cell>
          <cell r="E47" t="str">
            <v>NO</v>
          </cell>
          <cell r="F47" t="str">
            <v>YES</v>
          </cell>
          <cell r="G47" t="str">
            <v>NO</v>
          </cell>
          <cell r="H47" t="str">
            <v>YES</v>
          </cell>
          <cell r="I47" t="str">
            <v>YES</v>
          </cell>
          <cell r="J47" t="str">
            <v>NO</v>
          </cell>
          <cell r="K47" t="str">
            <v>YES</v>
          </cell>
          <cell r="L47" t="str">
            <v>YES</v>
          </cell>
          <cell r="M47" t="str">
            <v>NO</v>
          </cell>
          <cell r="N47" t="str">
            <v>NO</v>
          </cell>
        </row>
        <row r="48">
          <cell r="A48">
            <v>1748</v>
          </cell>
          <cell r="B48">
            <v>570</v>
          </cell>
          <cell r="C48">
            <v>6</v>
          </cell>
          <cell r="D48" t="str">
            <v>YES</v>
          </cell>
          <cell r="E48" t="str">
            <v>NO</v>
          </cell>
          <cell r="F48" t="str">
            <v>YES</v>
          </cell>
          <cell r="G48" t="str">
            <v>NO</v>
          </cell>
          <cell r="H48" t="str">
            <v>YES</v>
          </cell>
          <cell r="I48" t="str">
            <v>YES</v>
          </cell>
          <cell r="J48" t="str">
            <v>NO</v>
          </cell>
          <cell r="K48" t="str">
            <v>YES</v>
          </cell>
          <cell r="L48" t="str">
            <v>YES</v>
          </cell>
          <cell r="M48" t="str">
            <v>NO</v>
          </cell>
          <cell r="N48" t="str">
            <v>NO</v>
          </cell>
        </row>
        <row r="49">
          <cell r="A49">
            <v>1749</v>
          </cell>
          <cell r="B49">
            <v>570</v>
          </cell>
          <cell r="C49">
            <v>6</v>
          </cell>
          <cell r="D49" t="str">
            <v>YES</v>
          </cell>
          <cell r="E49" t="str">
            <v>NO</v>
          </cell>
          <cell r="F49" t="str">
            <v>YES</v>
          </cell>
          <cell r="G49" t="str">
            <v>NO</v>
          </cell>
          <cell r="H49" t="str">
            <v>YES</v>
          </cell>
          <cell r="I49" t="str">
            <v>YES</v>
          </cell>
          <cell r="J49" t="str">
            <v>NO</v>
          </cell>
          <cell r="K49" t="str">
            <v>YES</v>
          </cell>
          <cell r="L49" t="str">
            <v>YES</v>
          </cell>
          <cell r="M49" t="str">
            <v>NO</v>
          </cell>
          <cell r="N49" t="str">
            <v>NO</v>
          </cell>
        </row>
        <row r="50">
          <cell r="A50">
            <v>1750</v>
          </cell>
          <cell r="B50">
            <v>570</v>
          </cell>
          <cell r="C50">
            <v>6</v>
          </cell>
          <cell r="D50" t="str">
            <v>YES</v>
          </cell>
          <cell r="E50" t="str">
            <v>NO</v>
          </cell>
          <cell r="F50" t="str">
            <v>YES</v>
          </cell>
          <cell r="G50" t="str">
            <v>NO</v>
          </cell>
          <cell r="H50" t="str">
            <v>YES</v>
          </cell>
          <cell r="I50" t="str">
            <v>YES</v>
          </cell>
          <cell r="J50" t="str">
            <v>NO</v>
          </cell>
          <cell r="K50" t="str">
            <v>YES</v>
          </cell>
          <cell r="L50" t="str">
            <v>YES</v>
          </cell>
          <cell r="M50" t="str">
            <v>NO</v>
          </cell>
          <cell r="N50" t="str">
            <v>NO</v>
          </cell>
        </row>
        <row r="51">
          <cell r="A51">
            <v>1769</v>
          </cell>
          <cell r="B51">
            <v>570</v>
          </cell>
          <cell r="C51">
            <v>6</v>
          </cell>
          <cell r="D51" t="str">
            <v>YES</v>
          </cell>
          <cell r="E51" t="str">
            <v>NO</v>
          </cell>
          <cell r="F51" t="str">
            <v>YES</v>
          </cell>
          <cell r="G51" t="str">
            <v>NO</v>
          </cell>
          <cell r="H51" t="str">
            <v>YES</v>
          </cell>
          <cell r="I51" t="str">
            <v>YES</v>
          </cell>
          <cell r="J51" t="str">
            <v>NO</v>
          </cell>
          <cell r="K51" t="str">
            <v>YES</v>
          </cell>
          <cell r="L51" t="str">
            <v>YES</v>
          </cell>
          <cell r="M51" t="str">
            <v>NO</v>
          </cell>
          <cell r="N51" t="str">
            <v>NO</v>
          </cell>
        </row>
        <row r="52">
          <cell r="A52">
            <v>1800</v>
          </cell>
          <cell r="B52">
            <v>570</v>
          </cell>
          <cell r="C52">
            <v>6</v>
          </cell>
          <cell r="D52" t="str">
            <v>YES</v>
          </cell>
          <cell r="E52" t="str">
            <v>NO</v>
          </cell>
          <cell r="F52" t="str">
            <v>YES</v>
          </cell>
          <cell r="G52" t="str">
            <v>NO</v>
          </cell>
          <cell r="H52" t="str">
            <v>YES</v>
          </cell>
          <cell r="I52" t="str">
            <v>YES</v>
          </cell>
          <cell r="J52" t="str">
            <v>NO</v>
          </cell>
          <cell r="K52" t="str">
            <v>YES</v>
          </cell>
          <cell r="L52" t="str">
            <v>YES</v>
          </cell>
          <cell r="M52" t="str">
            <v>NO</v>
          </cell>
          <cell r="N52" t="str">
            <v>NO</v>
          </cell>
        </row>
        <row r="53">
          <cell r="A53">
            <v>1849</v>
          </cell>
          <cell r="B53">
            <v>570</v>
          </cell>
          <cell r="C53">
            <v>6</v>
          </cell>
          <cell r="D53" t="str">
            <v>YES</v>
          </cell>
          <cell r="E53" t="str">
            <v>NO</v>
          </cell>
          <cell r="F53" t="str">
            <v>YES</v>
          </cell>
          <cell r="G53" t="str">
            <v>NO</v>
          </cell>
          <cell r="H53" t="str">
            <v>YES</v>
          </cell>
          <cell r="I53" t="str">
            <v>YES</v>
          </cell>
          <cell r="J53" t="str">
            <v>NO</v>
          </cell>
          <cell r="K53" t="str">
            <v>YES</v>
          </cell>
          <cell r="L53" t="str">
            <v>YES</v>
          </cell>
          <cell r="M53" t="str">
            <v>NO</v>
          </cell>
          <cell r="N53" t="str">
            <v>NO</v>
          </cell>
        </row>
        <row r="54">
          <cell r="A54">
            <v>1885</v>
          </cell>
          <cell r="B54">
            <v>570</v>
          </cell>
          <cell r="C54">
            <v>6</v>
          </cell>
          <cell r="D54" t="str">
            <v>YES</v>
          </cell>
          <cell r="E54" t="str">
            <v>NO</v>
          </cell>
          <cell r="F54" t="str">
            <v>YES</v>
          </cell>
          <cell r="G54" t="str">
            <v>NO</v>
          </cell>
          <cell r="H54" t="str">
            <v>YES</v>
          </cell>
          <cell r="I54" t="str">
            <v>YES</v>
          </cell>
          <cell r="J54" t="str">
            <v>NO</v>
          </cell>
          <cell r="K54" t="str">
            <v>YES</v>
          </cell>
          <cell r="L54" t="str">
            <v>YES</v>
          </cell>
          <cell r="M54" t="str">
            <v>NO</v>
          </cell>
          <cell r="N54" t="str">
            <v>NO</v>
          </cell>
        </row>
        <row r="55">
          <cell r="A55">
            <v>1886</v>
          </cell>
          <cell r="B55">
            <v>570</v>
          </cell>
          <cell r="C55">
            <v>6</v>
          </cell>
          <cell r="D55" t="str">
            <v>YES</v>
          </cell>
          <cell r="E55" t="str">
            <v>NO</v>
          </cell>
          <cell r="F55" t="str">
            <v>YES</v>
          </cell>
          <cell r="G55" t="str">
            <v>NO</v>
          </cell>
          <cell r="H55" t="str">
            <v>YES</v>
          </cell>
          <cell r="I55" t="str">
            <v>YES</v>
          </cell>
          <cell r="J55" t="str">
            <v>NO</v>
          </cell>
          <cell r="K55" t="str">
            <v>YES</v>
          </cell>
          <cell r="L55" t="str">
            <v>YES</v>
          </cell>
          <cell r="M55" t="str">
            <v>NO</v>
          </cell>
          <cell r="N55" t="str">
            <v>NO</v>
          </cell>
        </row>
        <row r="56">
          <cell r="A56">
            <v>1900</v>
          </cell>
          <cell r="B56">
            <v>570</v>
          </cell>
          <cell r="C56">
            <v>6</v>
          </cell>
          <cell r="D56" t="str">
            <v>YES</v>
          </cell>
          <cell r="E56" t="str">
            <v>NO</v>
          </cell>
          <cell r="F56" t="str">
            <v>YES</v>
          </cell>
          <cell r="G56" t="str">
            <v>NO</v>
          </cell>
          <cell r="H56" t="str">
            <v>YES</v>
          </cell>
          <cell r="I56" t="str">
            <v>YES</v>
          </cell>
          <cell r="J56" t="str">
            <v>NO</v>
          </cell>
          <cell r="K56" t="str">
            <v>YES</v>
          </cell>
          <cell r="L56" t="str">
            <v>YES</v>
          </cell>
          <cell r="M56" t="str">
            <v>NO</v>
          </cell>
          <cell r="N56" t="str">
            <v>NO</v>
          </cell>
        </row>
        <row r="57">
          <cell r="A57">
            <v>1949</v>
          </cell>
          <cell r="B57">
            <v>570</v>
          </cell>
          <cell r="C57">
            <v>6</v>
          </cell>
          <cell r="D57" t="str">
            <v>YES</v>
          </cell>
          <cell r="E57" t="str">
            <v>NO</v>
          </cell>
          <cell r="F57" t="str">
            <v>YES</v>
          </cell>
          <cell r="G57" t="str">
            <v>NO</v>
          </cell>
          <cell r="H57" t="str">
            <v>YES</v>
          </cell>
          <cell r="I57" t="str">
            <v>YES</v>
          </cell>
          <cell r="J57" t="str">
            <v>NO</v>
          </cell>
          <cell r="K57" t="str">
            <v>YES</v>
          </cell>
          <cell r="L57" t="str">
            <v>YES</v>
          </cell>
          <cell r="M57" t="str">
            <v>NO</v>
          </cell>
          <cell r="N57" t="str">
            <v>NO</v>
          </cell>
        </row>
        <row r="58">
          <cell r="A58">
            <v>1950</v>
          </cell>
          <cell r="B58">
            <v>570</v>
          </cell>
          <cell r="C58">
            <v>6</v>
          </cell>
          <cell r="D58" t="str">
            <v>YES</v>
          </cell>
          <cell r="E58" t="str">
            <v>NO</v>
          </cell>
          <cell r="F58" t="str">
            <v>YES</v>
          </cell>
          <cell r="G58" t="str">
            <v>NO</v>
          </cell>
          <cell r="H58" t="str">
            <v>YES</v>
          </cell>
          <cell r="I58" t="str">
            <v>YES</v>
          </cell>
          <cell r="J58" t="str">
            <v>NO</v>
          </cell>
          <cell r="K58" t="str">
            <v>YES</v>
          </cell>
          <cell r="L58" t="str">
            <v>YES</v>
          </cell>
          <cell r="M58" t="str">
            <v>NO</v>
          </cell>
          <cell r="N58" t="str">
            <v>NO</v>
          </cell>
        </row>
        <row r="59">
          <cell r="A59">
            <v>1959</v>
          </cell>
          <cell r="B59">
            <v>570</v>
          </cell>
          <cell r="C59">
            <v>6</v>
          </cell>
          <cell r="D59" t="str">
            <v>YES</v>
          </cell>
          <cell r="E59" t="str">
            <v>NO</v>
          </cell>
          <cell r="F59" t="str">
            <v>YES</v>
          </cell>
          <cell r="G59" t="str">
            <v>NO</v>
          </cell>
          <cell r="H59" t="str">
            <v>YES</v>
          </cell>
          <cell r="I59" t="str">
            <v>YES</v>
          </cell>
          <cell r="J59" t="str">
            <v>NO</v>
          </cell>
          <cell r="K59" t="str">
            <v>YES</v>
          </cell>
          <cell r="L59" t="str">
            <v>YES</v>
          </cell>
          <cell r="M59" t="str">
            <v>NO</v>
          </cell>
          <cell r="N59" t="str">
            <v>NO</v>
          </cell>
        </row>
        <row r="60">
          <cell r="A60">
            <v>1990</v>
          </cell>
          <cell r="B60">
            <v>570</v>
          </cell>
          <cell r="C60">
            <v>6</v>
          </cell>
          <cell r="D60" t="str">
            <v>YES</v>
          </cell>
          <cell r="E60" t="str">
            <v>NO</v>
          </cell>
          <cell r="F60" t="str">
            <v>YES</v>
          </cell>
          <cell r="G60" t="str">
            <v>NO</v>
          </cell>
          <cell r="H60" t="str">
            <v>YES</v>
          </cell>
          <cell r="I60" t="str">
            <v>YES</v>
          </cell>
          <cell r="J60" t="str">
            <v>NO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NO</v>
          </cell>
        </row>
        <row r="61">
          <cell r="A61">
            <v>1998</v>
          </cell>
          <cell r="B61">
            <v>570</v>
          </cell>
          <cell r="C61">
            <v>6</v>
          </cell>
          <cell r="D61" t="str">
            <v>YES</v>
          </cell>
          <cell r="E61" t="str">
            <v>NO</v>
          </cell>
          <cell r="F61" t="str">
            <v>YES</v>
          </cell>
          <cell r="G61" t="str">
            <v>NO</v>
          </cell>
          <cell r="H61" t="str">
            <v>YES</v>
          </cell>
          <cell r="I61" t="str">
            <v>YES</v>
          </cell>
          <cell r="J61" t="str">
            <v>NO</v>
          </cell>
          <cell r="K61" t="str">
            <v>YES</v>
          </cell>
          <cell r="L61" t="str">
            <v>YES</v>
          </cell>
          <cell r="M61" t="str">
            <v>NO</v>
          </cell>
          <cell r="N61" t="str">
            <v>NO</v>
          </cell>
        </row>
        <row r="62">
          <cell r="A62">
            <v>2000</v>
          </cell>
          <cell r="B62">
            <v>570</v>
          </cell>
          <cell r="C62">
            <v>7</v>
          </cell>
          <cell r="D62" t="str">
            <v>NO</v>
          </cell>
          <cell r="E62" t="str">
            <v>YES</v>
          </cell>
          <cell r="F62" t="str">
            <v>NO</v>
          </cell>
          <cell r="G62" t="str">
            <v>NO</v>
          </cell>
          <cell r="H62" t="str">
            <v>NO</v>
          </cell>
          <cell r="I62" t="str">
            <v>NO</v>
          </cell>
          <cell r="J62" t="str">
            <v>YES</v>
          </cell>
          <cell r="K62" t="str">
            <v>NO</v>
          </cell>
          <cell r="L62" t="str">
            <v>NO</v>
          </cell>
          <cell r="M62" t="str">
            <v>YES</v>
          </cell>
          <cell r="N62" t="str">
            <v>NO</v>
          </cell>
        </row>
        <row r="63">
          <cell r="A63">
            <v>2002</v>
          </cell>
          <cell r="B63">
            <v>570</v>
          </cell>
          <cell r="C63">
            <v>7</v>
          </cell>
          <cell r="D63" t="str">
            <v>NO</v>
          </cell>
          <cell r="E63" t="str">
            <v>YES</v>
          </cell>
          <cell r="F63" t="str">
            <v>NO</v>
          </cell>
          <cell r="G63" t="str">
            <v>NO</v>
          </cell>
          <cell r="H63" t="str">
            <v>NO</v>
          </cell>
          <cell r="I63" t="str">
            <v>NO</v>
          </cell>
          <cell r="J63" t="str">
            <v>YES</v>
          </cell>
          <cell r="K63" t="str">
            <v>NO</v>
          </cell>
          <cell r="L63" t="str">
            <v>NO</v>
          </cell>
          <cell r="M63" t="str">
            <v>YES</v>
          </cell>
          <cell r="N63" t="str">
            <v>NO</v>
          </cell>
        </row>
        <row r="64">
          <cell r="A64">
            <v>2004</v>
          </cell>
          <cell r="B64">
            <v>570</v>
          </cell>
          <cell r="C64">
            <v>7</v>
          </cell>
          <cell r="D64" t="str">
            <v>NO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I64" t="str">
            <v>NO</v>
          </cell>
          <cell r="J64" t="str">
            <v>YES</v>
          </cell>
          <cell r="K64" t="str">
            <v>NO</v>
          </cell>
          <cell r="L64" t="str">
            <v>NO</v>
          </cell>
          <cell r="M64" t="str">
            <v>YES</v>
          </cell>
          <cell r="N64" t="str">
            <v>NO</v>
          </cell>
        </row>
        <row r="65">
          <cell r="A65">
            <v>2005</v>
          </cell>
          <cell r="B65">
            <v>570</v>
          </cell>
          <cell r="C65">
            <v>7</v>
          </cell>
          <cell r="D65" t="str">
            <v>NO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I65" t="str">
            <v>NO</v>
          </cell>
          <cell r="J65" t="str">
            <v>YES</v>
          </cell>
          <cell r="K65" t="str">
            <v>NO</v>
          </cell>
          <cell r="L65" t="str">
            <v>NO</v>
          </cell>
          <cell r="M65" t="str">
            <v>YES</v>
          </cell>
          <cell r="N65" t="str">
            <v>NO</v>
          </cell>
        </row>
        <row r="66">
          <cell r="A66">
            <v>2009</v>
          </cell>
          <cell r="B66">
            <v>570</v>
          </cell>
          <cell r="C66">
            <v>7</v>
          </cell>
          <cell r="D66" t="str">
            <v>NO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I66" t="str">
            <v>NO</v>
          </cell>
          <cell r="J66" t="str">
            <v>YES</v>
          </cell>
          <cell r="K66" t="str">
            <v>NO</v>
          </cell>
          <cell r="L66" t="str">
            <v>NO</v>
          </cell>
          <cell r="M66" t="str">
            <v>YES</v>
          </cell>
          <cell r="N66" t="str">
            <v>NO</v>
          </cell>
        </row>
        <row r="67">
          <cell r="A67">
            <v>2025</v>
          </cell>
          <cell r="B67">
            <v>570</v>
          </cell>
          <cell r="C67">
            <v>7</v>
          </cell>
          <cell r="D67" t="str">
            <v>NO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I67" t="str">
            <v>NO</v>
          </cell>
          <cell r="J67" t="str">
            <v>YES</v>
          </cell>
          <cell r="K67" t="str">
            <v>NO</v>
          </cell>
          <cell r="L67" t="str">
            <v>NO</v>
          </cell>
          <cell r="M67" t="str">
            <v>YES</v>
          </cell>
          <cell r="N67" t="str">
            <v>NO</v>
          </cell>
        </row>
        <row r="68">
          <cell r="A68">
            <v>2035</v>
          </cell>
          <cell r="B68">
            <v>570</v>
          </cell>
          <cell r="C68">
            <v>7</v>
          </cell>
          <cell r="D68" t="str">
            <v>NO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I68" t="str">
            <v>NO</v>
          </cell>
          <cell r="J68" t="str">
            <v>YES</v>
          </cell>
          <cell r="K68" t="str">
            <v>NO</v>
          </cell>
          <cell r="L68" t="str">
            <v>NO</v>
          </cell>
          <cell r="M68" t="str">
            <v>YES</v>
          </cell>
          <cell r="N68" t="str">
            <v>NO</v>
          </cell>
        </row>
        <row r="69">
          <cell r="A69">
            <v>2040</v>
          </cell>
          <cell r="B69">
            <v>570</v>
          </cell>
          <cell r="C69">
            <v>7</v>
          </cell>
          <cell r="D69" t="str">
            <v>NO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I69" t="str">
            <v>NO</v>
          </cell>
          <cell r="J69" t="str">
            <v>YES</v>
          </cell>
          <cell r="K69" t="str">
            <v>NO</v>
          </cell>
          <cell r="L69" t="str">
            <v>NO</v>
          </cell>
          <cell r="M69" t="str">
            <v>YES</v>
          </cell>
          <cell r="N69" t="str">
            <v>NO</v>
          </cell>
        </row>
        <row r="70">
          <cell r="A70">
            <v>2050</v>
          </cell>
          <cell r="B70">
            <v>570</v>
          </cell>
          <cell r="C70">
            <v>7</v>
          </cell>
          <cell r="D70" t="str">
            <v>NO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I70" t="str">
            <v>NO</v>
          </cell>
          <cell r="J70" t="str">
            <v>YES</v>
          </cell>
          <cell r="K70" t="str">
            <v>NO</v>
          </cell>
          <cell r="L70" t="str">
            <v>NO</v>
          </cell>
          <cell r="M70" t="str">
            <v>YES</v>
          </cell>
          <cell r="N70" t="str">
            <v>NO</v>
          </cell>
        </row>
        <row r="71">
          <cell r="A71">
            <v>2054</v>
          </cell>
          <cell r="B71">
            <v>570</v>
          </cell>
          <cell r="C71">
            <v>7</v>
          </cell>
          <cell r="D71" t="str">
            <v>NO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I71" t="str">
            <v>NO</v>
          </cell>
          <cell r="J71" t="str">
            <v>YES</v>
          </cell>
          <cell r="K71" t="str">
            <v>NO</v>
          </cell>
          <cell r="L71" t="str">
            <v>NO</v>
          </cell>
          <cell r="M71" t="str">
            <v>YES</v>
          </cell>
          <cell r="N71" t="str">
            <v>NO</v>
          </cell>
        </row>
        <row r="72">
          <cell r="A72">
            <v>2065</v>
          </cell>
          <cell r="B72">
            <v>570</v>
          </cell>
          <cell r="C72">
            <v>7</v>
          </cell>
          <cell r="D72" t="str">
            <v>NO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I72" t="str">
            <v>NO</v>
          </cell>
          <cell r="J72" t="str">
            <v>YES</v>
          </cell>
          <cell r="K72" t="str">
            <v>NO</v>
          </cell>
          <cell r="L72" t="str">
            <v>NO</v>
          </cell>
          <cell r="M72" t="str">
            <v>YES</v>
          </cell>
          <cell r="N72" t="str">
            <v>NO</v>
          </cell>
        </row>
        <row r="73">
          <cell r="A73">
            <v>2070</v>
          </cell>
          <cell r="B73">
            <v>570</v>
          </cell>
          <cell r="C73">
            <v>7</v>
          </cell>
          <cell r="D73" t="str">
            <v>NO</v>
          </cell>
          <cell r="E73" t="str">
            <v>YES</v>
          </cell>
          <cell r="F73" t="str">
            <v>NO</v>
          </cell>
          <cell r="G73" t="str">
            <v>NO</v>
          </cell>
          <cell r="H73" t="str">
            <v>NO</v>
          </cell>
          <cell r="I73" t="str">
            <v>NO</v>
          </cell>
          <cell r="J73" t="str">
            <v>YES</v>
          </cell>
          <cell r="K73" t="str">
            <v>NO</v>
          </cell>
          <cell r="L73" t="str">
            <v>NO</v>
          </cell>
          <cell r="M73" t="str">
            <v>YES</v>
          </cell>
          <cell r="N73" t="str">
            <v>NO</v>
          </cell>
        </row>
        <row r="74">
          <cell r="A74">
            <v>2071</v>
          </cell>
          <cell r="B74">
            <v>570</v>
          </cell>
          <cell r="C74">
            <v>7</v>
          </cell>
          <cell r="D74" t="str">
            <v>NO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I74" t="str">
            <v>NO</v>
          </cell>
          <cell r="J74" t="str">
            <v>YES</v>
          </cell>
          <cell r="K74" t="str">
            <v>NO</v>
          </cell>
          <cell r="L74" t="str">
            <v>NO</v>
          </cell>
          <cell r="M74" t="str">
            <v>YES</v>
          </cell>
          <cell r="N74" t="str">
            <v>NO</v>
          </cell>
        </row>
        <row r="75">
          <cell r="A75">
            <v>2080</v>
          </cell>
          <cell r="B75">
            <v>570</v>
          </cell>
          <cell r="C75">
            <v>7</v>
          </cell>
          <cell r="D75" t="str">
            <v>NO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I75" t="str">
            <v>NO</v>
          </cell>
          <cell r="J75" t="str">
            <v>YES</v>
          </cell>
          <cell r="K75" t="str">
            <v>NO</v>
          </cell>
          <cell r="L75" t="str">
            <v>NO</v>
          </cell>
          <cell r="M75" t="str">
            <v>YES</v>
          </cell>
          <cell r="N75" t="str">
            <v>NO</v>
          </cell>
        </row>
        <row r="76">
          <cell r="A76">
            <v>2090</v>
          </cell>
          <cell r="B76">
            <v>570</v>
          </cell>
          <cell r="C76">
            <v>7</v>
          </cell>
          <cell r="D76" t="str">
            <v>NO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I76" t="str">
            <v>NO</v>
          </cell>
          <cell r="J76" t="str">
            <v>YES</v>
          </cell>
          <cell r="K76" t="str">
            <v>NO</v>
          </cell>
          <cell r="L76" t="str">
            <v>NO</v>
          </cell>
          <cell r="M76" t="str">
            <v>YES</v>
          </cell>
          <cell r="N76" t="str">
            <v>NO</v>
          </cell>
        </row>
        <row r="77">
          <cell r="A77">
            <v>2100</v>
          </cell>
          <cell r="B77">
            <v>570</v>
          </cell>
          <cell r="C77">
            <v>7</v>
          </cell>
          <cell r="D77" t="str">
            <v>NO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I77" t="str">
            <v>NO</v>
          </cell>
          <cell r="J77" t="str">
            <v>YES</v>
          </cell>
          <cell r="K77" t="str">
            <v>NO</v>
          </cell>
          <cell r="L77" t="str">
            <v>NO</v>
          </cell>
          <cell r="M77" t="str">
            <v>YES</v>
          </cell>
          <cell r="N77" t="str">
            <v>NO</v>
          </cell>
        </row>
        <row r="78">
          <cell r="A78">
            <v>2104</v>
          </cell>
          <cell r="B78">
            <v>570</v>
          </cell>
          <cell r="C78">
            <v>7</v>
          </cell>
          <cell r="D78" t="str">
            <v>NO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I78" t="str">
            <v>NO</v>
          </cell>
          <cell r="J78" t="str">
            <v>YES</v>
          </cell>
          <cell r="K78" t="str">
            <v>NO</v>
          </cell>
          <cell r="L78" t="str">
            <v>NO</v>
          </cell>
          <cell r="M78" t="str">
            <v>YES</v>
          </cell>
          <cell r="N78" t="str">
            <v>NO</v>
          </cell>
        </row>
        <row r="79">
          <cell r="A79">
            <v>2115</v>
          </cell>
          <cell r="B79">
            <v>570</v>
          </cell>
          <cell r="C79">
            <v>7</v>
          </cell>
          <cell r="D79" t="str">
            <v>NO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I79" t="str">
            <v>NO</v>
          </cell>
          <cell r="J79" t="str">
            <v>YES</v>
          </cell>
          <cell r="K79" t="str">
            <v>NO</v>
          </cell>
          <cell r="L79" t="str">
            <v>NO</v>
          </cell>
          <cell r="M79" t="str">
            <v>YES</v>
          </cell>
          <cell r="N79" t="str">
            <v>NO</v>
          </cell>
        </row>
        <row r="80">
          <cell r="A80">
            <v>2120</v>
          </cell>
          <cell r="B80">
            <v>570</v>
          </cell>
          <cell r="C80">
            <v>7</v>
          </cell>
          <cell r="D80" t="str">
            <v>NO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I80" t="str">
            <v>NO</v>
          </cell>
          <cell r="J80" t="str">
            <v>YES</v>
          </cell>
          <cell r="K80" t="str">
            <v>NO</v>
          </cell>
          <cell r="L80" t="str">
            <v>NO</v>
          </cell>
          <cell r="M80" t="str">
            <v>YES</v>
          </cell>
          <cell r="N80" t="str">
            <v>NO</v>
          </cell>
        </row>
        <row r="81">
          <cell r="A81">
            <v>2125</v>
          </cell>
          <cell r="B81">
            <v>570</v>
          </cell>
          <cell r="C81">
            <v>7</v>
          </cell>
          <cell r="D81" t="str">
            <v>NO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I81" t="str">
            <v>NO</v>
          </cell>
          <cell r="J81" t="str">
            <v>YES</v>
          </cell>
          <cell r="K81" t="str">
            <v>NO</v>
          </cell>
          <cell r="L81" t="str">
            <v>NO</v>
          </cell>
          <cell r="M81" t="str">
            <v>YES</v>
          </cell>
          <cell r="N81" t="str">
            <v>NO</v>
          </cell>
        </row>
        <row r="82">
          <cell r="A82">
            <v>2130</v>
          </cell>
          <cell r="B82">
            <v>570</v>
          </cell>
          <cell r="C82">
            <v>7</v>
          </cell>
          <cell r="D82" t="str">
            <v>NO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I82" t="str">
            <v>NO</v>
          </cell>
          <cell r="J82" t="str">
            <v>YES</v>
          </cell>
          <cell r="K82" t="str">
            <v>NO</v>
          </cell>
          <cell r="L82" t="str">
            <v>NO</v>
          </cell>
          <cell r="M82" t="str">
            <v>YES</v>
          </cell>
          <cell r="N82" t="str">
            <v>NO</v>
          </cell>
        </row>
        <row r="83">
          <cell r="A83">
            <v>2135</v>
          </cell>
          <cell r="B83">
            <v>570</v>
          </cell>
          <cell r="C83">
            <v>7</v>
          </cell>
          <cell r="D83" t="str">
            <v>NO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I83" t="str">
            <v>NO</v>
          </cell>
          <cell r="J83" t="str">
            <v>YES</v>
          </cell>
          <cell r="K83" t="str">
            <v>NO</v>
          </cell>
          <cell r="L83" t="str">
            <v>NO</v>
          </cell>
          <cell r="M83" t="str">
            <v>YES</v>
          </cell>
          <cell r="N83" t="str">
            <v>NO</v>
          </cell>
        </row>
        <row r="84">
          <cell r="A84">
            <v>2139</v>
          </cell>
          <cell r="B84">
            <v>570</v>
          </cell>
          <cell r="C84">
            <v>7</v>
          </cell>
          <cell r="D84" t="str">
            <v>NO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NO</v>
          </cell>
          <cell r="J84" t="str">
            <v>YES</v>
          </cell>
          <cell r="K84" t="str">
            <v>NO</v>
          </cell>
          <cell r="L84" t="str">
            <v>NO</v>
          </cell>
          <cell r="M84" t="str">
            <v>YES</v>
          </cell>
          <cell r="N84" t="str">
            <v>NO</v>
          </cell>
        </row>
        <row r="85">
          <cell r="A85">
            <v>2140</v>
          </cell>
          <cell r="B85">
            <v>570</v>
          </cell>
          <cell r="C85">
            <v>7</v>
          </cell>
          <cell r="D85" t="str">
            <v>NO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I85" t="str">
            <v>NO</v>
          </cell>
          <cell r="J85" t="str">
            <v>YES</v>
          </cell>
          <cell r="K85" t="str">
            <v>NO</v>
          </cell>
          <cell r="L85" t="str">
            <v>NO</v>
          </cell>
          <cell r="M85" t="str">
            <v>YES</v>
          </cell>
          <cell r="N85" t="str">
            <v>NO</v>
          </cell>
        </row>
        <row r="86">
          <cell r="A86">
            <v>2150</v>
          </cell>
          <cell r="B86">
            <v>570</v>
          </cell>
          <cell r="C86">
            <v>7</v>
          </cell>
          <cell r="D86" t="str">
            <v>NO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I86" t="str">
            <v>NO</v>
          </cell>
          <cell r="J86" t="str">
            <v>YES</v>
          </cell>
          <cell r="K86" t="str">
            <v>NO</v>
          </cell>
          <cell r="L86" t="str">
            <v>NO</v>
          </cell>
          <cell r="M86" t="str">
            <v>YES</v>
          </cell>
          <cell r="N86" t="str">
            <v>NO</v>
          </cell>
        </row>
        <row r="87">
          <cell r="A87">
            <v>2200</v>
          </cell>
          <cell r="B87">
            <v>570</v>
          </cell>
          <cell r="C87">
            <v>7</v>
          </cell>
          <cell r="D87" t="str">
            <v>NO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I87" t="str">
            <v>NO</v>
          </cell>
          <cell r="J87" t="str">
            <v>YES</v>
          </cell>
          <cell r="K87" t="str">
            <v>NO</v>
          </cell>
          <cell r="L87" t="str">
            <v>NO</v>
          </cell>
          <cell r="M87" t="str">
            <v>YES</v>
          </cell>
          <cell r="N87" t="str">
            <v>NO</v>
          </cell>
        </row>
        <row r="88">
          <cell r="A88">
            <v>2205</v>
          </cell>
          <cell r="B88">
            <v>570</v>
          </cell>
          <cell r="C88">
            <v>7</v>
          </cell>
          <cell r="D88" t="str">
            <v>NO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I88" t="str">
            <v>NO</v>
          </cell>
          <cell r="J88" t="str">
            <v>YES</v>
          </cell>
          <cell r="K88" t="str">
            <v>NO</v>
          </cell>
          <cell r="L88" t="str">
            <v>NO</v>
          </cell>
          <cell r="M88" t="str">
            <v>YES</v>
          </cell>
          <cell r="N88" t="str">
            <v>NO</v>
          </cell>
        </row>
        <row r="89">
          <cell r="A89">
            <v>2230</v>
          </cell>
          <cell r="B89">
            <v>570</v>
          </cell>
          <cell r="C89">
            <v>7</v>
          </cell>
          <cell r="D89" t="str">
            <v>NO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I89" t="str">
            <v>NO</v>
          </cell>
          <cell r="J89" t="str">
            <v>YES</v>
          </cell>
          <cell r="K89" t="str">
            <v>NO</v>
          </cell>
          <cell r="L89" t="str">
            <v>NO</v>
          </cell>
          <cell r="M89" t="str">
            <v>YES</v>
          </cell>
          <cell r="N89" t="str">
            <v>NO</v>
          </cell>
        </row>
        <row r="90">
          <cell r="A90">
            <v>2240</v>
          </cell>
          <cell r="B90">
            <v>570</v>
          </cell>
          <cell r="C90">
            <v>7</v>
          </cell>
          <cell r="D90" t="str">
            <v>NO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I90" t="str">
            <v>NO</v>
          </cell>
          <cell r="J90" t="str">
            <v>YES</v>
          </cell>
          <cell r="K90" t="str">
            <v>NO</v>
          </cell>
          <cell r="L90" t="str">
            <v>NO</v>
          </cell>
          <cell r="M90" t="str">
            <v>YES</v>
          </cell>
          <cell r="N90" t="str">
            <v>NO</v>
          </cell>
        </row>
        <row r="91">
          <cell r="A91">
            <v>2250</v>
          </cell>
          <cell r="B91">
            <v>570</v>
          </cell>
          <cell r="C91">
            <v>7</v>
          </cell>
          <cell r="D91" t="str">
            <v>NO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I91" t="str">
            <v>NO</v>
          </cell>
          <cell r="J91" t="str">
            <v>YES</v>
          </cell>
          <cell r="K91" t="str">
            <v>NO</v>
          </cell>
          <cell r="L91" t="str">
            <v>NO</v>
          </cell>
          <cell r="M91" t="str">
            <v>YES</v>
          </cell>
          <cell r="N91" t="str">
            <v>NO</v>
          </cell>
        </row>
        <row r="92">
          <cell r="A92">
            <v>2260</v>
          </cell>
          <cell r="B92">
            <v>570</v>
          </cell>
          <cell r="C92">
            <v>7</v>
          </cell>
          <cell r="D92" t="str">
            <v>NO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I92" t="str">
            <v>NO</v>
          </cell>
          <cell r="J92" t="str">
            <v>YES</v>
          </cell>
          <cell r="K92" t="str">
            <v>NO</v>
          </cell>
          <cell r="L92" t="str">
            <v>NO</v>
          </cell>
          <cell r="M92" t="str">
            <v>YES</v>
          </cell>
          <cell r="N92" t="str">
            <v>NO</v>
          </cell>
        </row>
        <row r="93">
          <cell r="A93">
            <v>2275</v>
          </cell>
          <cell r="B93">
            <v>570</v>
          </cell>
          <cell r="C93">
            <v>7</v>
          </cell>
          <cell r="D93" t="str">
            <v>NO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I93" t="str">
            <v>NO</v>
          </cell>
          <cell r="J93" t="str">
            <v>YES</v>
          </cell>
          <cell r="K93" t="str">
            <v>NO</v>
          </cell>
          <cell r="L93" t="str">
            <v>NO</v>
          </cell>
          <cell r="M93" t="str">
            <v>YES</v>
          </cell>
          <cell r="N93" t="str">
            <v>NO</v>
          </cell>
        </row>
        <row r="94">
          <cell r="A94">
            <v>2300</v>
          </cell>
          <cell r="B94">
            <v>570</v>
          </cell>
          <cell r="C94">
            <v>7</v>
          </cell>
          <cell r="D94" t="str">
            <v>NO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I94" t="str">
            <v>NO</v>
          </cell>
          <cell r="J94" t="str">
            <v>YES</v>
          </cell>
          <cell r="K94" t="str">
            <v>NO</v>
          </cell>
          <cell r="L94" t="str">
            <v>NO</v>
          </cell>
          <cell r="M94" t="str">
            <v>YES</v>
          </cell>
          <cell r="N94" t="str">
            <v>NO</v>
          </cell>
        </row>
        <row r="95">
          <cell r="A95">
            <v>2301</v>
          </cell>
          <cell r="B95">
            <v>570</v>
          </cell>
          <cell r="C95">
            <v>7</v>
          </cell>
          <cell r="D95" t="str">
            <v>NO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NO</v>
          </cell>
          <cell r="J95" t="str">
            <v>YES</v>
          </cell>
          <cell r="K95" t="str">
            <v>NO</v>
          </cell>
          <cell r="L95" t="str">
            <v>NO</v>
          </cell>
          <cell r="M95" t="str">
            <v>YES</v>
          </cell>
          <cell r="N95" t="str">
            <v>NO</v>
          </cell>
        </row>
        <row r="96">
          <cell r="A96">
            <v>2304</v>
          </cell>
          <cell r="B96">
            <v>570</v>
          </cell>
          <cell r="C96">
            <v>7</v>
          </cell>
          <cell r="D96" t="str">
            <v>NO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I96" t="str">
            <v>NO</v>
          </cell>
          <cell r="J96" t="str">
            <v>YES</v>
          </cell>
          <cell r="K96" t="str">
            <v>NO</v>
          </cell>
          <cell r="L96" t="str">
            <v>NO</v>
          </cell>
          <cell r="M96" t="str">
            <v>YES</v>
          </cell>
          <cell r="N96" t="str">
            <v>NO</v>
          </cell>
        </row>
        <row r="97">
          <cell r="A97">
            <v>2305</v>
          </cell>
          <cell r="B97">
            <v>570</v>
          </cell>
          <cell r="C97">
            <v>7</v>
          </cell>
          <cell r="D97" t="str">
            <v>NO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I97" t="str">
            <v>NO</v>
          </cell>
          <cell r="J97" t="str">
            <v>YES</v>
          </cell>
          <cell r="K97" t="str">
            <v>NO</v>
          </cell>
          <cell r="L97" t="str">
            <v>NO</v>
          </cell>
          <cell r="M97" t="str">
            <v>YES</v>
          </cell>
          <cell r="N97" t="str">
            <v>NO</v>
          </cell>
        </row>
        <row r="98">
          <cell r="A98">
            <v>2330</v>
          </cell>
          <cell r="B98">
            <v>570</v>
          </cell>
          <cell r="C98">
            <v>7</v>
          </cell>
          <cell r="D98" t="str">
            <v>NO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I98" t="str">
            <v>NO</v>
          </cell>
          <cell r="J98" t="str">
            <v>YES</v>
          </cell>
          <cell r="K98" t="str">
            <v>NO</v>
          </cell>
          <cell r="L98" t="str">
            <v>NO</v>
          </cell>
          <cell r="M98" t="str">
            <v>YES</v>
          </cell>
          <cell r="N98" t="str">
            <v>NO</v>
          </cell>
        </row>
        <row r="99">
          <cell r="A99">
            <v>2350</v>
          </cell>
          <cell r="B99">
            <v>570</v>
          </cell>
          <cell r="C99">
            <v>7</v>
          </cell>
          <cell r="D99" t="str">
            <v>NO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I99" t="str">
            <v>NO</v>
          </cell>
          <cell r="J99" t="str">
            <v>YES</v>
          </cell>
          <cell r="K99" t="str">
            <v>NO</v>
          </cell>
          <cell r="L99" t="str">
            <v>NO</v>
          </cell>
          <cell r="M99" t="str">
            <v>YES</v>
          </cell>
          <cell r="N99" t="str">
            <v>NO</v>
          </cell>
        </row>
        <row r="100">
          <cell r="A100">
            <v>2351</v>
          </cell>
          <cell r="B100">
            <v>570</v>
          </cell>
          <cell r="C100">
            <v>7</v>
          </cell>
          <cell r="D100" t="str">
            <v>NO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I100" t="str">
            <v>NO</v>
          </cell>
          <cell r="J100" t="str">
            <v>YES</v>
          </cell>
          <cell r="K100" t="str">
            <v>NO</v>
          </cell>
          <cell r="L100" t="str">
            <v>NO</v>
          </cell>
          <cell r="M100" t="str">
            <v>YES</v>
          </cell>
          <cell r="N100" t="str">
            <v>NO</v>
          </cell>
        </row>
        <row r="101">
          <cell r="A101">
            <v>2354</v>
          </cell>
          <cell r="B101">
            <v>570</v>
          </cell>
          <cell r="C101">
            <v>7</v>
          </cell>
          <cell r="D101" t="str">
            <v>NO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I101" t="str">
            <v>NO</v>
          </cell>
          <cell r="J101" t="str">
            <v>YES</v>
          </cell>
          <cell r="K101" t="str">
            <v>NO</v>
          </cell>
          <cell r="L101" t="str">
            <v>NO</v>
          </cell>
          <cell r="M101" t="str">
            <v>YES</v>
          </cell>
          <cell r="N101" t="str">
            <v>NO</v>
          </cell>
        </row>
        <row r="102">
          <cell r="A102">
            <v>2355</v>
          </cell>
          <cell r="B102">
            <v>570</v>
          </cell>
          <cell r="C102">
            <v>7</v>
          </cell>
          <cell r="D102" t="str">
            <v>NO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I102" t="str">
            <v>NO</v>
          </cell>
          <cell r="J102" t="str">
            <v>YES</v>
          </cell>
          <cell r="K102" t="str">
            <v>NO</v>
          </cell>
          <cell r="L102" t="str">
            <v>NO</v>
          </cell>
          <cell r="M102" t="str">
            <v>YES</v>
          </cell>
          <cell r="N102" t="str">
            <v>NO</v>
          </cell>
        </row>
        <row r="103">
          <cell r="A103">
            <v>2380</v>
          </cell>
          <cell r="B103">
            <v>570</v>
          </cell>
          <cell r="C103">
            <v>7</v>
          </cell>
          <cell r="D103" t="str">
            <v>NO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I103" t="str">
            <v>NO</v>
          </cell>
          <cell r="J103" t="str">
            <v>YES</v>
          </cell>
          <cell r="K103" t="str">
            <v>NO</v>
          </cell>
          <cell r="L103" t="str">
            <v>NO</v>
          </cell>
          <cell r="M103" t="str">
            <v>YES</v>
          </cell>
          <cell r="N103" t="str">
            <v>NO</v>
          </cell>
        </row>
        <row r="104">
          <cell r="A104">
            <v>2384</v>
          </cell>
          <cell r="B104">
            <v>570</v>
          </cell>
          <cell r="C104">
            <v>7</v>
          </cell>
          <cell r="D104" t="str">
            <v>NO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I104" t="str">
            <v>NO</v>
          </cell>
          <cell r="J104" t="str">
            <v>YES</v>
          </cell>
          <cell r="K104" t="str">
            <v>NO</v>
          </cell>
          <cell r="L104" t="str">
            <v>NO</v>
          </cell>
          <cell r="M104" t="str">
            <v>YES</v>
          </cell>
          <cell r="N104" t="str">
            <v>NO</v>
          </cell>
        </row>
        <row r="105">
          <cell r="A105">
            <v>2395</v>
          </cell>
          <cell r="B105">
            <v>570</v>
          </cell>
          <cell r="C105">
            <v>7</v>
          </cell>
          <cell r="D105" t="str">
            <v>NO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I105" t="str">
            <v>NO</v>
          </cell>
          <cell r="J105" t="str">
            <v>YES</v>
          </cell>
          <cell r="K105" t="str">
            <v>NO</v>
          </cell>
          <cell r="L105" t="str">
            <v>NO</v>
          </cell>
          <cell r="M105" t="str">
            <v>YES</v>
          </cell>
          <cell r="N105" t="str">
            <v>NO</v>
          </cell>
        </row>
        <row r="106">
          <cell r="A106">
            <v>2400</v>
          </cell>
          <cell r="B106">
            <v>570</v>
          </cell>
          <cell r="C106">
            <v>7</v>
          </cell>
          <cell r="D106" t="str">
            <v>NO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NO</v>
          </cell>
          <cell r="J106" t="str">
            <v>YES</v>
          </cell>
          <cell r="K106" t="str">
            <v>NO</v>
          </cell>
          <cell r="L106" t="str">
            <v>NO</v>
          </cell>
          <cell r="M106" t="str">
            <v>YES</v>
          </cell>
          <cell r="N106" t="str">
            <v>NO</v>
          </cell>
        </row>
        <row r="107">
          <cell r="A107">
            <v>2401</v>
          </cell>
          <cell r="B107">
            <v>570</v>
          </cell>
          <cell r="C107">
            <v>7</v>
          </cell>
          <cell r="D107" t="str">
            <v>NO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I107" t="str">
            <v>NO</v>
          </cell>
          <cell r="J107" t="str">
            <v>YES</v>
          </cell>
          <cell r="K107" t="str">
            <v>NO</v>
          </cell>
          <cell r="L107" t="str">
            <v>NO</v>
          </cell>
          <cell r="M107" t="str">
            <v>YES</v>
          </cell>
          <cell r="N107" t="str">
            <v>NO</v>
          </cell>
        </row>
        <row r="108">
          <cell r="A108">
            <v>2403</v>
          </cell>
          <cell r="B108">
            <v>570</v>
          </cell>
          <cell r="C108">
            <v>7</v>
          </cell>
          <cell r="D108" t="str">
            <v>NO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I108" t="str">
            <v>NO</v>
          </cell>
          <cell r="J108" t="str">
            <v>YES</v>
          </cell>
          <cell r="K108" t="str">
            <v>NO</v>
          </cell>
          <cell r="L108" t="str">
            <v>NO</v>
          </cell>
          <cell r="M108" t="str">
            <v>YES</v>
          </cell>
          <cell r="N108" t="str">
            <v>NO</v>
          </cell>
        </row>
        <row r="109">
          <cell r="A109">
            <v>2404</v>
          </cell>
          <cell r="B109">
            <v>570</v>
          </cell>
          <cell r="C109">
            <v>7</v>
          </cell>
          <cell r="D109" t="str">
            <v>NO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I109" t="str">
            <v>NO</v>
          </cell>
          <cell r="J109" t="str">
            <v>YES</v>
          </cell>
          <cell r="K109" t="str">
            <v>NO</v>
          </cell>
          <cell r="L109" t="str">
            <v>NO</v>
          </cell>
          <cell r="M109" t="str">
            <v>YES</v>
          </cell>
          <cell r="N109" t="str">
            <v>NO</v>
          </cell>
        </row>
        <row r="110">
          <cell r="A110">
            <v>2405</v>
          </cell>
          <cell r="B110">
            <v>570</v>
          </cell>
          <cell r="C110">
            <v>7</v>
          </cell>
          <cell r="D110" t="str">
            <v>NO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I110" t="str">
            <v>NO</v>
          </cell>
          <cell r="J110" t="str">
            <v>YES</v>
          </cell>
          <cell r="K110" t="str">
            <v>NO</v>
          </cell>
          <cell r="L110" t="str">
            <v>NO</v>
          </cell>
          <cell r="M110" t="str">
            <v>YES</v>
          </cell>
          <cell r="N110" t="str">
            <v>NO</v>
          </cell>
        </row>
        <row r="111">
          <cell r="A111">
            <v>2410</v>
          </cell>
          <cell r="B111">
            <v>570</v>
          </cell>
          <cell r="C111">
            <v>7</v>
          </cell>
          <cell r="D111" t="str">
            <v>NO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I111" t="str">
            <v>NO</v>
          </cell>
          <cell r="J111" t="str">
            <v>YES</v>
          </cell>
          <cell r="K111" t="str">
            <v>NO</v>
          </cell>
          <cell r="L111" t="str">
            <v>NO</v>
          </cell>
          <cell r="M111" t="str">
            <v>YES</v>
          </cell>
          <cell r="N111" t="str">
            <v>NO</v>
          </cell>
        </row>
        <row r="112">
          <cell r="A112">
            <v>2414</v>
          </cell>
          <cell r="B112">
            <v>570</v>
          </cell>
          <cell r="C112">
            <v>7</v>
          </cell>
          <cell r="D112" t="str">
            <v>NO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I112" t="str">
            <v>NO</v>
          </cell>
          <cell r="J112" t="str">
            <v>YES</v>
          </cell>
          <cell r="K112" t="str">
            <v>NO</v>
          </cell>
          <cell r="L112" t="str">
            <v>NO</v>
          </cell>
          <cell r="M112" t="str">
            <v>YES</v>
          </cell>
          <cell r="N112" t="str">
            <v>NO</v>
          </cell>
        </row>
        <row r="113">
          <cell r="A113">
            <v>2415</v>
          </cell>
          <cell r="B113">
            <v>570</v>
          </cell>
          <cell r="C113">
            <v>7</v>
          </cell>
          <cell r="D113" t="str">
            <v>NO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I113" t="str">
            <v>NO</v>
          </cell>
          <cell r="J113" t="str">
            <v>YES</v>
          </cell>
          <cell r="K113" t="str">
            <v>NO</v>
          </cell>
          <cell r="L113" t="str">
            <v>NO</v>
          </cell>
          <cell r="M113" t="str">
            <v>YES</v>
          </cell>
          <cell r="N113" t="str">
            <v>NO</v>
          </cell>
        </row>
        <row r="114">
          <cell r="A114">
            <v>2419</v>
          </cell>
          <cell r="B114">
            <v>570</v>
          </cell>
          <cell r="C114">
            <v>7</v>
          </cell>
          <cell r="D114" t="str">
            <v>NO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I114" t="str">
            <v>NO</v>
          </cell>
          <cell r="J114" t="str">
            <v>YES</v>
          </cell>
          <cell r="K114" t="str">
            <v>NO</v>
          </cell>
          <cell r="L114" t="str">
            <v>NO</v>
          </cell>
          <cell r="M114" t="str">
            <v>YES</v>
          </cell>
          <cell r="N114" t="str">
            <v>NO</v>
          </cell>
        </row>
        <row r="115">
          <cell r="A115">
            <v>2420</v>
          </cell>
          <cell r="B115">
            <v>570</v>
          </cell>
          <cell r="C115">
            <v>7</v>
          </cell>
          <cell r="D115" t="str">
            <v>NO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I115" t="str">
            <v>NO</v>
          </cell>
          <cell r="J115" t="str">
            <v>YES</v>
          </cell>
          <cell r="K115" t="str">
            <v>NO</v>
          </cell>
          <cell r="L115" t="str">
            <v>NO</v>
          </cell>
          <cell r="M115" t="str">
            <v>YES</v>
          </cell>
          <cell r="N115" t="str">
            <v>NO</v>
          </cell>
        </row>
        <row r="116">
          <cell r="A116">
            <v>2424</v>
          </cell>
          <cell r="B116">
            <v>570</v>
          </cell>
          <cell r="C116">
            <v>7</v>
          </cell>
          <cell r="D116" t="str">
            <v>NO</v>
          </cell>
          <cell r="E116" t="str">
            <v>YES</v>
          </cell>
          <cell r="F116" t="str">
            <v>NO</v>
          </cell>
          <cell r="G116" t="str">
            <v>NO</v>
          </cell>
          <cell r="H116" t="str">
            <v>NO</v>
          </cell>
          <cell r="I116" t="str">
            <v>NO</v>
          </cell>
          <cell r="J116" t="str">
            <v>YES</v>
          </cell>
          <cell r="K116" t="str">
            <v>NO</v>
          </cell>
          <cell r="L116" t="str">
            <v>NO</v>
          </cell>
          <cell r="M116" t="str">
            <v>YES</v>
          </cell>
          <cell r="N116" t="str">
            <v>NO</v>
          </cell>
        </row>
        <row r="117">
          <cell r="A117">
            <v>2425</v>
          </cell>
          <cell r="B117">
            <v>570</v>
          </cell>
          <cell r="C117">
            <v>7</v>
          </cell>
          <cell r="D117" t="str">
            <v>NO</v>
          </cell>
          <cell r="E117" t="str">
            <v>YES</v>
          </cell>
          <cell r="F117" t="str">
            <v>NO</v>
          </cell>
          <cell r="G117" t="str">
            <v>NO</v>
          </cell>
          <cell r="H117" t="str">
            <v>NO</v>
          </cell>
          <cell r="I117" t="str">
            <v>NO</v>
          </cell>
          <cell r="J117" t="str">
            <v>YES</v>
          </cell>
          <cell r="K117" t="str">
            <v>NO</v>
          </cell>
          <cell r="L117" t="str">
            <v>NO</v>
          </cell>
          <cell r="M117" t="str">
            <v>YES</v>
          </cell>
          <cell r="N117" t="str">
            <v>NO</v>
          </cell>
        </row>
        <row r="118">
          <cell r="A118">
            <v>2430</v>
          </cell>
          <cell r="B118">
            <v>570</v>
          </cell>
          <cell r="C118">
            <v>7</v>
          </cell>
          <cell r="D118" t="str">
            <v>NO</v>
          </cell>
          <cell r="E118" t="str">
            <v>YES</v>
          </cell>
          <cell r="F118" t="str">
            <v>NO</v>
          </cell>
          <cell r="G118" t="str">
            <v>NO</v>
          </cell>
          <cell r="H118" t="str">
            <v>NO</v>
          </cell>
          <cell r="I118" t="str">
            <v>NO</v>
          </cell>
          <cell r="J118" t="str">
            <v>YES</v>
          </cell>
          <cell r="K118" t="str">
            <v>NO</v>
          </cell>
          <cell r="L118" t="str">
            <v>NO</v>
          </cell>
          <cell r="M118" t="str">
            <v>YES</v>
          </cell>
          <cell r="N118" t="str">
            <v>NO</v>
          </cell>
        </row>
        <row r="119">
          <cell r="A119">
            <v>2435</v>
          </cell>
          <cell r="B119">
            <v>570</v>
          </cell>
          <cell r="C119">
            <v>7</v>
          </cell>
          <cell r="D119" t="str">
            <v>NO</v>
          </cell>
          <cell r="E119" t="str">
            <v>YES</v>
          </cell>
          <cell r="F119" t="str">
            <v>NO</v>
          </cell>
          <cell r="G119" t="str">
            <v>NO</v>
          </cell>
          <cell r="H119" t="str">
            <v>NO</v>
          </cell>
          <cell r="I119" t="str">
            <v>NO</v>
          </cell>
          <cell r="J119" t="str">
            <v>YES</v>
          </cell>
          <cell r="K119" t="str">
            <v>NO</v>
          </cell>
          <cell r="L119" t="str">
            <v>NO</v>
          </cell>
          <cell r="M119" t="str">
            <v>YES</v>
          </cell>
          <cell r="N119" t="str">
            <v>NO</v>
          </cell>
        </row>
        <row r="120">
          <cell r="A120">
            <v>2440</v>
          </cell>
          <cell r="B120">
            <v>570</v>
          </cell>
          <cell r="C120">
            <v>7</v>
          </cell>
          <cell r="D120" t="str">
            <v>NO</v>
          </cell>
          <cell r="E120" t="str">
            <v>YES</v>
          </cell>
          <cell r="F120" t="str">
            <v>NO</v>
          </cell>
          <cell r="G120" t="str">
            <v>NO</v>
          </cell>
          <cell r="H120" t="str">
            <v>NO</v>
          </cell>
          <cell r="I120" t="str">
            <v>NO</v>
          </cell>
          <cell r="J120" t="str">
            <v>YES</v>
          </cell>
          <cell r="K120" t="str">
            <v>NO</v>
          </cell>
          <cell r="L120" t="str">
            <v>NO</v>
          </cell>
          <cell r="M120" t="str">
            <v>YES</v>
          </cell>
          <cell r="N120" t="str">
            <v>NO</v>
          </cell>
        </row>
        <row r="121">
          <cell r="A121">
            <v>2445</v>
          </cell>
          <cell r="B121">
            <v>570</v>
          </cell>
          <cell r="C121">
            <v>7</v>
          </cell>
          <cell r="D121" t="str">
            <v>NO</v>
          </cell>
          <cell r="E121" t="str">
            <v>YES</v>
          </cell>
          <cell r="F121" t="str">
            <v>NO</v>
          </cell>
          <cell r="G121" t="str">
            <v>NO</v>
          </cell>
          <cell r="H121" t="str">
            <v>NO</v>
          </cell>
          <cell r="I121" t="str">
            <v>NO</v>
          </cell>
          <cell r="J121" t="str">
            <v>YES</v>
          </cell>
          <cell r="K121" t="str">
            <v>NO</v>
          </cell>
          <cell r="L121" t="str">
            <v>NO</v>
          </cell>
          <cell r="M121" t="str">
            <v>YES</v>
          </cell>
          <cell r="N121" t="str">
            <v>NO</v>
          </cell>
        </row>
        <row r="122">
          <cell r="A122">
            <v>2450</v>
          </cell>
          <cell r="B122">
            <v>570</v>
          </cell>
          <cell r="C122">
            <v>7</v>
          </cell>
          <cell r="D122" t="str">
            <v>NO</v>
          </cell>
          <cell r="E122" t="str">
            <v>YES</v>
          </cell>
          <cell r="F122" t="str">
            <v>NO</v>
          </cell>
          <cell r="G122" t="str">
            <v>NO</v>
          </cell>
          <cell r="H122" t="str">
            <v>NO</v>
          </cell>
          <cell r="I122" t="str">
            <v>NO</v>
          </cell>
          <cell r="J122" t="str">
            <v>YES</v>
          </cell>
          <cell r="K122" t="str">
            <v>NO</v>
          </cell>
          <cell r="L122" t="str">
            <v>NO</v>
          </cell>
          <cell r="M122" t="str">
            <v>YES</v>
          </cell>
          <cell r="N122" t="str">
            <v>NO</v>
          </cell>
        </row>
        <row r="123">
          <cell r="A123">
            <v>2455</v>
          </cell>
          <cell r="B123">
            <v>570</v>
          </cell>
          <cell r="C123">
            <v>7</v>
          </cell>
          <cell r="D123" t="str">
            <v>NO</v>
          </cell>
          <cell r="E123" t="str">
            <v>YES</v>
          </cell>
          <cell r="F123" t="str">
            <v>NO</v>
          </cell>
          <cell r="G123" t="str">
            <v>NO</v>
          </cell>
          <cell r="H123" t="str">
            <v>NO</v>
          </cell>
          <cell r="I123" t="str">
            <v>NO</v>
          </cell>
          <cell r="J123" t="str">
            <v>YES</v>
          </cell>
          <cell r="K123" t="str">
            <v>NO</v>
          </cell>
          <cell r="L123" t="str">
            <v>NO</v>
          </cell>
          <cell r="M123" t="str">
            <v>YES</v>
          </cell>
          <cell r="N123" t="str">
            <v>NO</v>
          </cell>
        </row>
        <row r="124">
          <cell r="A124">
            <v>2460</v>
          </cell>
          <cell r="B124">
            <v>570</v>
          </cell>
          <cell r="C124">
            <v>7</v>
          </cell>
          <cell r="D124" t="str">
            <v>NO</v>
          </cell>
          <cell r="E124" t="str">
            <v>YES</v>
          </cell>
          <cell r="F124" t="str">
            <v>NO</v>
          </cell>
          <cell r="G124" t="str">
            <v>NO</v>
          </cell>
          <cell r="H124" t="str">
            <v>NO</v>
          </cell>
          <cell r="I124" t="str">
            <v>NO</v>
          </cell>
          <cell r="J124" t="str">
            <v>YES</v>
          </cell>
          <cell r="K124" t="str">
            <v>NO</v>
          </cell>
          <cell r="L124" t="str">
            <v>NO</v>
          </cell>
          <cell r="M124" t="str">
            <v>YES</v>
          </cell>
          <cell r="N124" t="str">
            <v>NO</v>
          </cell>
        </row>
        <row r="125">
          <cell r="A125">
            <v>2461</v>
          </cell>
          <cell r="B125">
            <v>570</v>
          </cell>
          <cell r="C125">
            <v>7</v>
          </cell>
          <cell r="D125" t="str">
            <v>NO</v>
          </cell>
          <cell r="E125" t="str">
            <v>YES</v>
          </cell>
          <cell r="F125" t="str">
            <v>NO</v>
          </cell>
          <cell r="G125" t="str">
            <v>NO</v>
          </cell>
          <cell r="H125" t="str">
            <v>NO</v>
          </cell>
          <cell r="I125" t="str">
            <v>NO</v>
          </cell>
          <cell r="J125" t="str">
            <v>YES</v>
          </cell>
          <cell r="K125" t="str">
            <v>NO</v>
          </cell>
          <cell r="L125" t="str">
            <v>NO</v>
          </cell>
          <cell r="M125" t="str">
            <v>YES</v>
          </cell>
          <cell r="N125" t="str">
            <v>NO</v>
          </cell>
        </row>
        <row r="126">
          <cell r="A126">
            <v>2465</v>
          </cell>
          <cell r="B126">
            <v>570</v>
          </cell>
          <cell r="C126">
            <v>7</v>
          </cell>
          <cell r="D126" t="str">
            <v>NO</v>
          </cell>
          <cell r="E126" t="str">
            <v>YES</v>
          </cell>
          <cell r="F126" t="str">
            <v>NO</v>
          </cell>
          <cell r="G126" t="str">
            <v>NO</v>
          </cell>
          <cell r="H126" t="str">
            <v>NO</v>
          </cell>
          <cell r="I126" t="str">
            <v>NO</v>
          </cell>
          <cell r="J126" t="str">
            <v>YES</v>
          </cell>
          <cell r="K126" t="str">
            <v>NO</v>
          </cell>
          <cell r="L126" t="str">
            <v>NO</v>
          </cell>
          <cell r="M126" t="str">
            <v>YES</v>
          </cell>
          <cell r="N126" t="str">
            <v>NO</v>
          </cell>
        </row>
        <row r="127">
          <cell r="A127">
            <v>2475</v>
          </cell>
          <cell r="B127">
            <v>570</v>
          </cell>
          <cell r="C127">
            <v>7</v>
          </cell>
          <cell r="D127" t="str">
            <v>NO</v>
          </cell>
          <cell r="E127" t="str">
            <v>YES</v>
          </cell>
          <cell r="F127" t="str">
            <v>NO</v>
          </cell>
          <cell r="G127" t="str">
            <v>NO</v>
          </cell>
          <cell r="H127" t="str">
            <v>NO</v>
          </cell>
          <cell r="I127" t="str">
            <v>NO</v>
          </cell>
          <cell r="J127" t="str">
            <v>YES</v>
          </cell>
          <cell r="K127" t="str">
            <v>NO</v>
          </cell>
          <cell r="L127" t="str">
            <v>NO</v>
          </cell>
          <cell r="M127" t="str">
            <v>YES</v>
          </cell>
          <cell r="N127" t="str">
            <v>NO</v>
          </cell>
        </row>
        <row r="128">
          <cell r="A128">
            <v>2480</v>
          </cell>
          <cell r="B128">
            <v>570</v>
          </cell>
          <cell r="C128">
            <v>7</v>
          </cell>
          <cell r="D128" t="str">
            <v>NO</v>
          </cell>
          <cell r="E128" t="str">
            <v>YES</v>
          </cell>
          <cell r="F128" t="str">
            <v>NO</v>
          </cell>
          <cell r="G128" t="str">
            <v>NO</v>
          </cell>
          <cell r="H128" t="str">
            <v>NO</v>
          </cell>
          <cell r="I128" t="str">
            <v>NO</v>
          </cell>
          <cell r="J128" t="str">
            <v>YES</v>
          </cell>
          <cell r="K128" t="str">
            <v>NO</v>
          </cell>
          <cell r="L128" t="str">
            <v>NO</v>
          </cell>
          <cell r="M128" t="str">
            <v>YES</v>
          </cell>
          <cell r="N128" t="str">
            <v>NO</v>
          </cell>
        </row>
        <row r="129">
          <cell r="A129">
            <v>2485</v>
          </cell>
          <cell r="B129">
            <v>570</v>
          </cell>
          <cell r="C129">
            <v>7</v>
          </cell>
          <cell r="D129" t="str">
            <v>NO</v>
          </cell>
          <cell r="E129" t="str">
            <v>YES</v>
          </cell>
          <cell r="F129" t="str">
            <v>NO</v>
          </cell>
          <cell r="G129" t="str">
            <v>NO</v>
          </cell>
          <cell r="H129" t="str">
            <v>NO</v>
          </cell>
          <cell r="I129" t="str">
            <v>NO</v>
          </cell>
          <cell r="J129" t="str">
            <v>YES</v>
          </cell>
          <cell r="K129" t="str">
            <v>NO</v>
          </cell>
          <cell r="L129" t="str">
            <v>NO</v>
          </cell>
          <cell r="M129" t="str">
            <v>YES</v>
          </cell>
          <cell r="N129" t="str">
            <v>NO</v>
          </cell>
        </row>
        <row r="130">
          <cell r="A130">
            <v>2490</v>
          </cell>
          <cell r="B130">
            <v>570</v>
          </cell>
          <cell r="C130">
            <v>7</v>
          </cell>
          <cell r="D130" t="str">
            <v>NO</v>
          </cell>
          <cell r="E130" t="str">
            <v>YES</v>
          </cell>
          <cell r="F130" t="str">
            <v>NO</v>
          </cell>
          <cell r="G130" t="str">
            <v>NO</v>
          </cell>
          <cell r="H130" t="str">
            <v>NO</v>
          </cell>
          <cell r="I130" t="str">
            <v>NO</v>
          </cell>
          <cell r="J130" t="str">
            <v>YES</v>
          </cell>
          <cell r="K130" t="str">
            <v>NO</v>
          </cell>
          <cell r="L130" t="str">
            <v>NO</v>
          </cell>
          <cell r="M130" t="str">
            <v>YES</v>
          </cell>
          <cell r="N130" t="str">
            <v>NO</v>
          </cell>
        </row>
        <row r="131">
          <cell r="A131">
            <v>2495</v>
          </cell>
          <cell r="B131">
            <v>570</v>
          </cell>
          <cell r="C131">
            <v>7</v>
          </cell>
          <cell r="D131" t="str">
            <v>NO</v>
          </cell>
          <cell r="E131" t="str">
            <v>YES</v>
          </cell>
          <cell r="F131" t="str">
            <v>NO</v>
          </cell>
          <cell r="G131" t="str">
            <v>NO</v>
          </cell>
          <cell r="H131" t="str">
            <v>NO</v>
          </cell>
          <cell r="I131" t="str">
            <v>NO</v>
          </cell>
          <cell r="J131" t="str">
            <v>YES</v>
          </cell>
          <cell r="K131" t="str">
            <v>NO</v>
          </cell>
          <cell r="L131" t="str">
            <v>NO</v>
          </cell>
          <cell r="M131" t="str">
            <v>YES</v>
          </cell>
          <cell r="N131" t="str">
            <v>NO</v>
          </cell>
        </row>
        <row r="132">
          <cell r="A132">
            <v>2499</v>
          </cell>
          <cell r="B132">
            <v>570</v>
          </cell>
          <cell r="C132">
            <v>7</v>
          </cell>
          <cell r="D132" t="str">
            <v>NO</v>
          </cell>
          <cell r="E132" t="str">
            <v>YES</v>
          </cell>
          <cell r="F132" t="str">
            <v>NO</v>
          </cell>
          <cell r="G132" t="str">
            <v>NO</v>
          </cell>
          <cell r="H132" t="str">
            <v>NO</v>
          </cell>
          <cell r="I132" t="str">
            <v>NO</v>
          </cell>
          <cell r="J132" t="str">
            <v>YES</v>
          </cell>
          <cell r="K132" t="str">
            <v>NO</v>
          </cell>
          <cell r="L132" t="str">
            <v>NO</v>
          </cell>
          <cell r="M132" t="str">
            <v>YES</v>
          </cell>
          <cell r="N132" t="str">
            <v>NO</v>
          </cell>
        </row>
        <row r="133">
          <cell r="A133">
            <v>2500</v>
          </cell>
          <cell r="B133">
            <v>570</v>
          </cell>
          <cell r="C133">
            <v>7</v>
          </cell>
          <cell r="D133" t="str">
            <v>NO</v>
          </cell>
          <cell r="E133" t="str">
            <v>YES</v>
          </cell>
          <cell r="F133" t="str">
            <v>NO</v>
          </cell>
          <cell r="G133" t="str">
            <v>NO</v>
          </cell>
          <cell r="H133" t="str">
            <v>NO</v>
          </cell>
          <cell r="I133" t="str">
            <v>NO</v>
          </cell>
          <cell r="J133" t="str">
            <v>YES</v>
          </cell>
          <cell r="K133" t="str">
            <v>NO</v>
          </cell>
          <cell r="L133" t="str">
            <v>NO</v>
          </cell>
          <cell r="M133" t="str">
            <v>YES</v>
          </cell>
          <cell r="N133" t="str">
            <v>NO</v>
          </cell>
        </row>
        <row r="134">
          <cell r="A134">
            <v>2504</v>
          </cell>
          <cell r="B134">
            <v>570</v>
          </cell>
          <cell r="C134">
            <v>7</v>
          </cell>
          <cell r="D134" t="str">
            <v>NO</v>
          </cell>
          <cell r="E134" t="str">
            <v>YES</v>
          </cell>
          <cell r="F134" t="str">
            <v>NO</v>
          </cell>
          <cell r="G134" t="str">
            <v>NO</v>
          </cell>
          <cell r="H134" t="str">
            <v>NO</v>
          </cell>
          <cell r="I134" t="str">
            <v>NO</v>
          </cell>
          <cell r="J134" t="str">
            <v>YES</v>
          </cell>
          <cell r="K134" t="str">
            <v>NO</v>
          </cell>
          <cell r="L134" t="str">
            <v>NO</v>
          </cell>
          <cell r="M134" t="str">
            <v>YES</v>
          </cell>
          <cell r="N134" t="str">
            <v>NO</v>
          </cell>
        </row>
        <row r="135">
          <cell r="A135">
            <v>2510</v>
          </cell>
          <cell r="B135">
            <v>570</v>
          </cell>
          <cell r="C135">
            <v>7</v>
          </cell>
          <cell r="D135" t="str">
            <v>NO</v>
          </cell>
          <cell r="E135" t="str">
            <v>YES</v>
          </cell>
          <cell r="F135" t="str">
            <v>NO</v>
          </cell>
          <cell r="G135" t="str">
            <v>NO</v>
          </cell>
          <cell r="H135" t="str">
            <v>NO</v>
          </cell>
          <cell r="I135" t="str">
            <v>NO</v>
          </cell>
          <cell r="J135" t="str">
            <v>YES</v>
          </cell>
          <cell r="K135" t="str">
            <v>NO</v>
          </cell>
          <cell r="L135" t="str">
            <v>NO</v>
          </cell>
          <cell r="M135" t="str">
            <v>YES</v>
          </cell>
          <cell r="N135" t="str">
            <v>NO</v>
          </cell>
        </row>
        <row r="136">
          <cell r="A136">
            <v>2520</v>
          </cell>
          <cell r="B136">
            <v>570</v>
          </cell>
          <cell r="C136">
            <v>7</v>
          </cell>
          <cell r="D136" t="str">
            <v>NO</v>
          </cell>
          <cell r="E136" t="str">
            <v>YES</v>
          </cell>
          <cell r="F136" t="str">
            <v>NO</v>
          </cell>
          <cell r="G136" t="str">
            <v>NO</v>
          </cell>
          <cell r="H136" t="str">
            <v>NO</v>
          </cell>
          <cell r="I136" t="str">
            <v>NO</v>
          </cell>
          <cell r="J136" t="str">
            <v>YES</v>
          </cell>
          <cell r="K136" t="str">
            <v>NO</v>
          </cell>
          <cell r="L136" t="str">
            <v>NO</v>
          </cell>
          <cell r="M136" t="str">
            <v>YES</v>
          </cell>
          <cell r="N136" t="str">
            <v>NO</v>
          </cell>
        </row>
        <row r="137">
          <cell r="A137">
            <v>2525</v>
          </cell>
          <cell r="B137">
            <v>570</v>
          </cell>
          <cell r="C137">
            <v>7</v>
          </cell>
          <cell r="D137" t="str">
            <v>NO</v>
          </cell>
          <cell r="E137" t="str">
            <v>YES</v>
          </cell>
          <cell r="F137" t="str">
            <v>NO</v>
          </cell>
          <cell r="G137" t="str">
            <v>NO</v>
          </cell>
          <cell r="H137" t="str">
            <v>NO</v>
          </cell>
          <cell r="I137" t="str">
            <v>NO</v>
          </cell>
          <cell r="J137" t="str">
            <v>YES</v>
          </cell>
          <cell r="K137" t="str">
            <v>NO</v>
          </cell>
          <cell r="L137" t="str">
            <v>NO</v>
          </cell>
          <cell r="M137" t="str">
            <v>YES</v>
          </cell>
          <cell r="N137" t="str">
            <v>NO</v>
          </cell>
        </row>
        <row r="138">
          <cell r="A138">
            <v>2530</v>
          </cell>
          <cell r="B138">
            <v>570</v>
          </cell>
          <cell r="C138">
            <v>7</v>
          </cell>
          <cell r="D138" t="str">
            <v>NO</v>
          </cell>
          <cell r="E138" t="str">
            <v>YES</v>
          </cell>
          <cell r="F138" t="str">
            <v>NO</v>
          </cell>
          <cell r="G138" t="str">
            <v>NO</v>
          </cell>
          <cell r="H138" t="str">
            <v>NO</v>
          </cell>
          <cell r="I138" t="str">
            <v>NO</v>
          </cell>
          <cell r="J138" t="str">
            <v>YES</v>
          </cell>
          <cell r="K138" t="str">
            <v>NO</v>
          </cell>
          <cell r="L138" t="str">
            <v>NO</v>
          </cell>
          <cell r="M138" t="str">
            <v>YES</v>
          </cell>
          <cell r="N138" t="str">
            <v>NO</v>
          </cell>
        </row>
        <row r="139">
          <cell r="A139">
            <v>2538</v>
          </cell>
          <cell r="B139">
            <v>570</v>
          </cell>
          <cell r="C139">
            <v>7</v>
          </cell>
          <cell r="D139" t="str">
            <v>NO</v>
          </cell>
          <cell r="E139" t="str">
            <v>YES</v>
          </cell>
          <cell r="F139" t="str">
            <v>NO</v>
          </cell>
          <cell r="G139" t="str">
            <v>NO</v>
          </cell>
          <cell r="H139" t="str">
            <v>NO</v>
          </cell>
          <cell r="I139" t="str">
            <v>NO</v>
          </cell>
          <cell r="J139" t="str">
            <v>YES</v>
          </cell>
          <cell r="K139" t="str">
            <v>NO</v>
          </cell>
          <cell r="L139" t="str">
            <v>NO</v>
          </cell>
          <cell r="M139" t="str">
            <v>YES</v>
          </cell>
          <cell r="N139" t="str">
            <v>NO</v>
          </cell>
        </row>
        <row r="140">
          <cell r="A140">
            <v>2540</v>
          </cell>
          <cell r="B140">
            <v>570</v>
          </cell>
          <cell r="C140">
            <v>7</v>
          </cell>
          <cell r="D140" t="str">
            <v>NO</v>
          </cell>
          <cell r="E140" t="str">
            <v>YES</v>
          </cell>
          <cell r="F140" t="str">
            <v>NO</v>
          </cell>
          <cell r="G140" t="str">
            <v>NO</v>
          </cell>
          <cell r="H140" t="str">
            <v>NO</v>
          </cell>
          <cell r="I140" t="str">
            <v>NO</v>
          </cell>
          <cell r="J140" t="str">
            <v>YES</v>
          </cell>
          <cell r="K140" t="str">
            <v>NO</v>
          </cell>
          <cell r="L140" t="str">
            <v>NO</v>
          </cell>
          <cell r="M140" t="str">
            <v>YES</v>
          </cell>
          <cell r="N140" t="str">
            <v>NO</v>
          </cell>
        </row>
        <row r="141">
          <cell r="A141">
            <v>2550</v>
          </cell>
          <cell r="B141">
            <v>570</v>
          </cell>
          <cell r="C141">
            <v>7</v>
          </cell>
          <cell r="D141" t="str">
            <v>NO</v>
          </cell>
          <cell r="E141" t="str">
            <v>YES</v>
          </cell>
          <cell r="F141" t="str">
            <v>NO</v>
          </cell>
          <cell r="G141" t="str">
            <v>NO</v>
          </cell>
          <cell r="H141" t="str">
            <v>NO</v>
          </cell>
          <cell r="I141" t="str">
            <v>NO</v>
          </cell>
          <cell r="J141" t="str">
            <v>YES</v>
          </cell>
          <cell r="K141" t="str">
            <v>NO</v>
          </cell>
          <cell r="L141" t="str">
            <v>NO</v>
          </cell>
          <cell r="M141" t="str">
            <v>YES</v>
          </cell>
          <cell r="N141" t="str">
            <v>NO</v>
          </cell>
        </row>
        <row r="142">
          <cell r="A142">
            <v>2560</v>
          </cell>
          <cell r="B142">
            <v>570</v>
          </cell>
          <cell r="C142">
            <v>7</v>
          </cell>
          <cell r="D142" t="str">
            <v>NO</v>
          </cell>
          <cell r="E142" t="str">
            <v>YES</v>
          </cell>
          <cell r="F142" t="str">
            <v>NO</v>
          </cell>
          <cell r="G142" t="str">
            <v>NO</v>
          </cell>
          <cell r="H142" t="str">
            <v>NO</v>
          </cell>
          <cell r="I142" t="str">
            <v>NO</v>
          </cell>
          <cell r="J142" t="str">
            <v>YES</v>
          </cell>
          <cell r="K142" t="str">
            <v>NO</v>
          </cell>
          <cell r="L142" t="str">
            <v>NO</v>
          </cell>
          <cell r="M142" t="str">
            <v>YES</v>
          </cell>
          <cell r="N142" t="str">
            <v>NO</v>
          </cell>
        </row>
        <row r="143">
          <cell r="A143">
            <v>2561</v>
          </cell>
          <cell r="B143">
            <v>570</v>
          </cell>
          <cell r="C143">
            <v>7</v>
          </cell>
          <cell r="D143" t="str">
            <v>NO</v>
          </cell>
          <cell r="E143" t="str">
            <v>YES</v>
          </cell>
          <cell r="F143" t="str">
            <v>NO</v>
          </cell>
          <cell r="G143" t="str">
            <v>NO</v>
          </cell>
          <cell r="H143" t="str">
            <v>NO</v>
          </cell>
          <cell r="I143" t="str">
            <v>NO</v>
          </cell>
          <cell r="J143" t="str">
            <v>YES</v>
          </cell>
          <cell r="K143" t="str">
            <v>NO</v>
          </cell>
          <cell r="L143" t="str">
            <v>NO</v>
          </cell>
          <cell r="M143" t="str">
            <v>YES</v>
          </cell>
          <cell r="N143" t="str">
            <v>NO</v>
          </cell>
        </row>
        <row r="144">
          <cell r="A144">
            <v>2565</v>
          </cell>
          <cell r="B144">
            <v>570</v>
          </cell>
          <cell r="C144">
            <v>7</v>
          </cell>
          <cell r="D144" t="str">
            <v>NO</v>
          </cell>
          <cell r="E144" t="str">
            <v>YES</v>
          </cell>
          <cell r="F144" t="str">
            <v>NO</v>
          </cell>
          <cell r="G144" t="str">
            <v>NO</v>
          </cell>
          <cell r="H144" t="str">
            <v>NO</v>
          </cell>
          <cell r="I144" t="str">
            <v>NO</v>
          </cell>
          <cell r="J144" t="str">
            <v>YES</v>
          </cell>
          <cell r="K144" t="str">
            <v>NO</v>
          </cell>
          <cell r="L144" t="str">
            <v>NO</v>
          </cell>
          <cell r="M144" t="str">
            <v>YES</v>
          </cell>
          <cell r="N144" t="str">
            <v>NO</v>
          </cell>
        </row>
        <row r="145">
          <cell r="A145">
            <v>2575</v>
          </cell>
          <cell r="B145">
            <v>570</v>
          </cell>
          <cell r="C145">
            <v>7</v>
          </cell>
          <cell r="D145" t="str">
            <v>NO</v>
          </cell>
          <cell r="E145" t="str">
            <v>YES</v>
          </cell>
          <cell r="F145" t="str">
            <v>NO</v>
          </cell>
          <cell r="G145" t="str">
            <v>NO</v>
          </cell>
          <cell r="H145" t="str">
            <v>NO</v>
          </cell>
          <cell r="I145" t="str">
            <v>NO</v>
          </cell>
          <cell r="J145" t="str">
            <v>YES</v>
          </cell>
          <cell r="K145" t="str">
            <v>NO</v>
          </cell>
          <cell r="L145" t="str">
            <v>NO</v>
          </cell>
          <cell r="M145" t="str">
            <v>YES</v>
          </cell>
          <cell r="N145" t="str">
            <v>NO</v>
          </cell>
        </row>
        <row r="146">
          <cell r="A146">
            <v>2580</v>
          </cell>
          <cell r="B146">
            <v>570</v>
          </cell>
          <cell r="C146">
            <v>7</v>
          </cell>
          <cell r="D146" t="str">
            <v>NO</v>
          </cell>
          <cell r="E146" t="str">
            <v>YES</v>
          </cell>
          <cell r="F146" t="str">
            <v>NO</v>
          </cell>
          <cell r="G146" t="str">
            <v>NO</v>
          </cell>
          <cell r="H146" t="str">
            <v>NO</v>
          </cell>
          <cell r="I146" t="str">
            <v>NO</v>
          </cell>
          <cell r="J146" t="str">
            <v>YES</v>
          </cell>
          <cell r="K146" t="str">
            <v>NO</v>
          </cell>
          <cell r="L146" t="str">
            <v>NO</v>
          </cell>
          <cell r="M146" t="str">
            <v>YES</v>
          </cell>
          <cell r="N146" t="str">
            <v>NO</v>
          </cell>
        </row>
        <row r="147">
          <cell r="A147">
            <v>2581</v>
          </cell>
          <cell r="B147">
            <v>570</v>
          </cell>
          <cell r="C147">
            <v>7</v>
          </cell>
          <cell r="D147" t="str">
            <v>NO</v>
          </cell>
          <cell r="E147" t="str">
            <v>YES</v>
          </cell>
          <cell r="F147" t="str">
            <v>NO</v>
          </cell>
          <cell r="G147" t="str">
            <v>NO</v>
          </cell>
          <cell r="H147" t="str">
            <v>NO</v>
          </cell>
          <cell r="I147" t="str">
            <v>NO</v>
          </cell>
          <cell r="J147" t="str">
            <v>YES</v>
          </cell>
          <cell r="K147" t="str">
            <v>NO</v>
          </cell>
          <cell r="L147" t="str">
            <v>NO</v>
          </cell>
          <cell r="M147" t="str">
            <v>YES</v>
          </cell>
          <cell r="N147" t="str">
            <v>NO</v>
          </cell>
        </row>
        <row r="148">
          <cell r="A148">
            <v>2584</v>
          </cell>
          <cell r="B148">
            <v>570</v>
          </cell>
          <cell r="C148">
            <v>7</v>
          </cell>
          <cell r="D148" t="str">
            <v>NO</v>
          </cell>
          <cell r="E148" t="str">
            <v>YES</v>
          </cell>
          <cell r="F148" t="str">
            <v>NO</v>
          </cell>
          <cell r="G148" t="str">
            <v>NO</v>
          </cell>
          <cell r="H148" t="str">
            <v>NO</v>
          </cell>
          <cell r="I148" t="str">
            <v>NO</v>
          </cell>
          <cell r="J148" t="str">
            <v>YES</v>
          </cell>
          <cell r="K148" t="str">
            <v>NO</v>
          </cell>
          <cell r="L148" t="str">
            <v>NO</v>
          </cell>
          <cell r="M148" t="str">
            <v>YES</v>
          </cell>
          <cell r="N148" t="str">
            <v>NO</v>
          </cell>
        </row>
        <row r="149">
          <cell r="A149">
            <v>2585</v>
          </cell>
          <cell r="B149">
            <v>570</v>
          </cell>
          <cell r="C149">
            <v>7</v>
          </cell>
          <cell r="D149" t="str">
            <v>NO</v>
          </cell>
          <cell r="E149" t="str">
            <v>YES</v>
          </cell>
          <cell r="F149" t="str">
            <v>NO</v>
          </cell>
          <cell r="G149" t="str">
            <v>NO</v>
          </cell>
          <cell r="H149" t="str">
            <v>NO</v>
          </cell>
          <cell r="I149" t="str">
            <v>NO</v>
          </cell>
          <cell r="J149" t="str">
            <v>YES</v>
          </cell>
          <cell r="K149" t="str">
            <v>NO</v>
          </cell>
          <cell r="L149" t="str">
            <v>NO</v>
          </cell>
          <cell r="M149" t="str">
            <v>YES</v>
          </cell>
          <cell r="N149" t="str">
            <v>NO</v>
          </cell>
        </row>
        <row r="150">
          <cell r="A150">
            <v>2590</v>
          </cell>
          <cell r="B150">
            <v>570</v>
          </cell>
          <cell r="C150">
            <v>7</v>
          </cell>
          <cell r="D150" t="str">
            <v>NO</v>
          </cell>
          <cell r="E150" t="str">
            <v>YES</v>
          </cell>
          <cell r="F150" t="str">
            <v>NO</v>
          </cell>
          <cell r="G150" t="str">
            <v>NO</v>
          </cell>
          <cell r="H150" t="str">
            <v>NO</v>
          </cell>
          <cell r="I150" t="str">
            <v>NO</v>
          </cell>
          <cell r="J150" t="str">
            <v>YES</v>
          </cell>
          <cell r="K150" t="str">
            <v>NO</v>
          </cell>
          <cell r="L150" t="str">
            <v>NO</v>
          </cell>
          <cell r="M150" t="str">
            <v>YES</v>
          </cell>
          <cell r="N150" t="str">
            <v>NO</v>
          </cell>
        </row>
        <row r="151">
          <cell r="A151">
            <v>2594</v>
          </cell>
          <cell r="B151">
            <v>570</v>
          </cell>
          <cell r="C151">
            <v>7</v>
          </cell>
          <cell r="D151" t="str">
            <v>NO</v>
          </cell>
          <cell r="E151" t="str">
            <v>YES</v>
          </cell>
          <cell r="F151" t="str">
            <v>NO</v>
          </cell>
          <cell r="G151" t="str">
            <v>NO</v>
          </cell>
          <cell r="H151" t="str">
            <v>NO</v>
          </cell>
          <cell r="I151" t="str">
            <v>NO</v>
          </cell>
          <cell r="J151" t="str">
            <v>YES</v>
          </cell>
          <cell r="K151" t="str">
            <v>NO</v>
          </cell>
          <cell r="L151" t="str">
            <v>NO</v>
          </cell>
          <cell r="M151" t="str">
            <v>YES</v>
          </cell>
          <cell r="N151" t="str">
            <v>NO</v>
          </cell>
        </row>
        <row r="152">
          <cell r="A152">
            <v>2600</v>
          </cell>
          <cell r="B152">
            <v>570</v>
          </cell>
          <cell r="C152">
            <v>6</v>
          </cell>
          <cell r="D152" t="str">
            <v>YES</v>
          </cell>
          <cell r="E152" t="str">
            <v>NO</v>
          </cell>
          <cell r="F152" t="str">
            <v>YES</v>
          </cell>
          <cell r="G152" t="str">
            <v>NO</v>
          </cell>
          <cell r="H152" t="str">
            <v>YES</v>
          </cell>
          <cell r="I152" t="str">
            <v>YES</v>
          </cell>
          <cell r="J152" t="str">
            <v>NO</v>
          </cell>
          <cell r="K152" t="str">
            <v>YES</v>
          </cell>
          <cell r="L152" t="str">
            <v>YES</v>
          </cell>
          <cell r="M152" t="str">
            <v>NO</v>
          </cell>
          <cell r="N152" t="str">
            <v>NO</v>
          </cell>
        </row>
        <row r="153">
          <cell r="A153">
            <v>2601</v>
          </cell>
          <cell r="B153">
            <v>570</v>
          </cell>
          <cell r="C153">
            <v>6</v>
          </cell>
          <cell r="D153" t="str">
            <v>YES</v>
          </cell>
          <cell r="E153" t="str">
            <v>NO</v>
          </cell>
          <cell r="F153" t="str">
            <v>YES</v>
          </cell>
          <cell r="G153" t="str">
            <v>NO</v>
          </cell>
          <cell r="H153" t="str">
            <v>YES</v>
          </cell>
          <cell r="I153" t="str">
            <v>YES</v>
          </cell>
          <cell r="J153" t="str">
            <v>NO</v>
          </cell>
          <cell r="K153" t="str">
            <v>YES</v>
          </cell>
          <cell r="L153" t="str">
            <v>YES</v>
          </cell>
          <cell r="M153" t="str">
            <v>NO</v>
          </cell>
          <cell r="N153" t="str">
            <v>NO</v>
          </cell>
        </row>
        <row r="154">
          <cell r="A154">
            <v>2605</v>
          </cell>
          <cell r="B154">
            <v>570</v>
          </cell>
          <cell r="C154">
            <v>6</v>
          </cell>
          <cell r="D154" t="str">
            <v>YES</v>
          </cell>
          <cell r="E154" t="str">
            <v>NO</v>
          </cell>
          <cell r="F154" t="str">
            <v>YES</v>
          </cell>
          <cell r="G154" t="str">
            <v>NO</v>
          </cell>
          <cell r="H154" t="str">
            <v>YES</v>
          </cell>
          <cell r="I154" t="str">
            <v>YES</v>
          </cell>
          <cell r="J154" t="str">
            <v>NO</v>
          </cell>
          <cell r="K154" t="str">
            <v>YES</v>
          </cell>
          <cell r="L154" t="str">
            <v>YES</v>
          </cell>
          <cell r="M154" t="str">
            <v>NO</v>
          </cell>
          <cell r="N154" t="str">
            <v>NO</v>
          </cell>
        </row>
        <row r="155">
          <cell r="A155">
            <v>2609</v>
          </cell>
          <cell r="B155">
            <v>570</v>
          </cell>
          <cell r="C155">
            <v>6</v>
          </cell>
          <cell r="D155" t="str">
            <v>YES</v>
          </cell>
          <cell r="E155" t="str">
            <v>NO</v>
          </cell>
          <cell r="F155" t="str">
            <v>YES</v>
          </cell>
          <cell r="G155" t="str">
            <v>NO</v>
          </cell>
          <cell r="H155" t="str">
            <v>YES</v>
          </cell>
          <cell r="I155" t="str">
            <v>YES</v>
          </cell>
          <cell r="J155" t="str">
            <v>NO</v>
          </cell>
          <cell r="K155" t="str">
            <v>YES</v>
          </cell>
          <cell r="L155" t="str">
            <v>YES</v>
          </cell>
          <cell r="M155" t="str">
            <v>NO</v>
          </cell>
          <cell r="N155" t="str">
            <v>NO</v>
          </cell>
        </row>
        <row r="156">
          <cell r="A156">
            <v>2610</v>
          </cell>
          <cell r="B156">
            <v>570</v>
          </cell>
          <cell r="C156">
            <v>6</v>
          </cell>
          <cell r="D156" t="str">
            <v>YES</v>
          </cell>
          <cell r="E156" t="str">
            <v>NO</v>
          </cell>
          <cell r="F156" t="str">
            <v>YES</v>
          </cell>
          <cell r="G156" t="str">
            <v>NO</v>
          </cell>
          <cell r="H156" t="str">
            <v>YES</v>
          </cell>
          <cell r="I156" t="str">
            <v>YES</v>
          </cell>
          <cell r="J156" t="str">
            <v>NO</v>
          </cell>
          <cell r="K156" t="str">
            <v>YES</v>
          </cell>
          <cell r="L156" t="str">
            <v>YES</v>
          </cell>
          <cell r="M156" t="str">
            <v>NO</v>
          </cell>
          <cell r="N156" t="str">
            <v>NO</v>
          </cell>
        </row>
        <row r="157">
          <cell r="A157">
            <v>2614</v>
          </cell>
          <cell r="B157">
            <v>570</v>
          </cell>
          <cell r="C157">
            <v>6</v>
          </cell>
          <cell r="D157" t="str">
            <v>YES</v>
          </cell>
          <cell r="E157" t="str">
            <v>NO</v>
          </cell>
          <cell r="F157" t="str">
            <v>YES</v>
          </cell>
          <cell r="G157" t="str">
            <v>NO</v>
          </cell>
          <cell r="H157" t="str">
            <v>YES</v>
          </cell>
          <cell r="I157" t="str">
            <v>YES</v>
          </cell>
          <cell r="J157" t="str">
            <v>NO</v>
          </cell>
          <cell r="K157" t="str">
            <v>YES</v>
          </cell>
          <cell r="L157" t="str">
            <v>YES</v>
          </cell>
          <cell r="M157" t="str">
            <v>NO</v>
          </cell>
          <cell r="N157" t="str">
            <v>NO</v>
          </cell>
        </row>
        <row r="158">
          <cell r="A158">
            <v>2615</v>
          </cell>
          <cell r="B158">
            <v>570</v>
          </cell>
          <cell r="C158">
            <v>6</v>
          </cell>
          <cell r="D158" t="str">
            <v>YES</v>
          </cell>
          <cell r="E158" t="str">
            <v>NO</v>
          </cell>
          <cell r="F158" t="str">
            <v>YES</v>
          </cell>
          <cell r="G158" t="str">
            <v>NO</v>
          </cell>
          <cell r="H158" t="str">
            <v>YES</v>
          </cell>
          <cell r="I158" t="str">
            <v>YES</v>
          </cell>
          <cell r="J158" t="str">
            <v>NO</v>
          </cell>
          <cell r="K158" t="str">
            <v>YES</v>
          </cell>
          <cell r="L158" t="str">
            <v>YES</v>
          </cell>
          <cell r="M158" t="str">
            <v>NO</v>
          </cell>
          <cell r="N158" t="str">
            <v>NO</v>
          </cell>
        </row>
        <row r="159">
          <cell r="A159">
            <v>2616</v>
          </cell>
          <cell r="B159">
            <v>570</v>
          </cell>
          <cell r="C159">
            <v>6</v>
          </cell>
          <cell r="D159" t="str">
            <v>YES</v>
          </cell>
          <cell r="E159" t="str">
            <v>NO</v>
          </cell>
          <cell r="F159" t="str">
            <v>YES</v>
          </cell>
          <cell r="G159" t="str">
            <v>NO</v>
          </cell>
          <cell r="H159" t="str">
            <v>YES</v>
          </cell>
          <cell r="I159" t="str">
            <v>YES</v>
          </cell>
          <cell r="J159" t="str">
            <v>NO</v>
          </cell>
          <cell r="K159" t="str">
            <v>YES</v>
          </cell>
          <cell r="L159" t="str">
            <v>YES</v>
          </cell>
          <cell r="M159" t="str">
            <v>NO</v>
          </cell>
          <cell r="N159" t="str">
            <v>NO</v>
          </cell>
        </row>
        <row r="160">
          <cell r="A160">
            <v>2619</v>
          </cell>
          <cell r="B160">
            <v>570</v>
          </cell>
          <cell r="C160">
            <v>6</v>
          </cell>
          <cell r="D160" t="str">
            <v>YES</v>
          </cell>
          <cell r="E160" t="str">
            <v>NO</v>
          </cell>
          <cell r="F160" t="str">
            <v>YES</v>
          </cell>
          <cell r="G160" t="str">
            <v>NO</v>
          </cell>
          <cell r="H160" t="str">
            <v>YES</v>
          </cell>
          <cell r="I160" t="str">
            <v>YES</v>
          </cell>
          <cell r="J160" t="str">
            <v>NO</v>
          </cell>
          <cell r="K160" t="str">
            <v>YES</v>
          </cell>
          <cell r="L160" t="str">
            <v>YES</v>
          </cell>
          <cell r="M160" t="str">
            <v>NO</v>
          </cell>
          <cell r="N160" t="str">
            <v>NO</v>
          </cell>
        </row>
        <row r="161">
          <cell r="A161">
            <v>2620</v>
          </cell>
          <cell r="B161">
            <v>570</v>
          </cell>
          <cell r="C161">
            <v>6</v>
          </cell>
          <cell r="D161" t="str">
            <v>YES</v>
          </cell>
          <cell r="E161" t="str">
            <v>NO</v>
          </cell>
          <cell r="F161" t="str">
            <v>YES</v>
          </cell>
          <cell r="G161" t="str">
            <v>NO</v>
          </cell>
          <cell r="H161" t="str">
            <v>YES</v>
          </cell>
          <cell r="I161" t="str">
            <v>YES</v>
          </cell>
          <cell r="J161" t="str">
            <v>NO</v>
          </cell>
          <cell r="K161" t="str">
            <v>YES</v>
          </cell>
          <cell r="L161" t="str">
            <v>YES</v>
          </cell>
          <cell r="M161" t="str">
            <v>NO</v>
          </cell>
          <cell r="N161" t="str">
            <v>NO</v>
          </cell>
        </row>
        <row r="162">
          <cell r="A162">
            <v>2621</v>
          </cell>
          <cell r="B162">
            <v>570</v>
          </cell>
          <cell r="C162">
            <v>6</v>
          </cell>
          <cell r="D162" t="str">
            <v>YES</v>
          </cell>
          <cell r="E162" t="str">
            <v>NO</v>
          </cell>
          <cell r="F162" t="str">
            <v>YES</v>
          </cell>
          <cell r="G162" t="str">
            <v>NO</v>
          </cell>
          <cell r="H162" t="str">
            <v>YES</v>
          </cell>
          <cell r="I162" t="str">
            <v>YES</v>
          </cell>
          <cell r="J162" t="str">
            <v>NO</v>
          </cell>
          <cell r="K162" t="str">
            <v>YES</v>
          </cell>
          <cell r="L162" t="str">
            <v>YES</v>
          </cell>
          <cell r="M162" t="str">
            <v>NO</v>
          </cell>
          <cell r="N162" t="str">
            <v>NO</v>
          </cell>
        </row>
        <row r="163">
          <cell r="A163">
            <v>2625</v>
          </cell>
          <cell r="B163">
            <v>570</v>
          </cell>
          <cell r="C163">
            <v>6</v>
          </cell>
          <cell r="D163" t="str">
            <v>YES</v>
          </cell>
          <cell r="E163" t="str">
            <v>NO</v>
          </cell>
          <cell r="F163" t="str">
            <v>YES</v>
          </cell>
          <cell r="G163" t="str">
            <v>NO</v>
          </cell>
          <cell r="H163" t="str">
            <v>YES</v>
          </cell>
          <cell r="I163" t="str">
            <v>YES</v>
          </cell>
          <cell r="J163" t="str">
            <v>NO</v>
          </cell>
          <cell r="K163" t="str">
            <v>YES</v>
          </cell>
          <cell r="L163" t="str">
            <v>YES</v>
          </cell>
          <cell r="M163" t="str">
            <v>NO</v>
          </cell>
          <cell r="N163" t="str">
            <v>NO</v>
          </cell>
        </row>
        <row r="164">
          <cell r="A164">
            <v>2626</v>
          </cell>
          <cell r="B164">
            <v>570</v>
          </cell>
          <cell r="C164">
            <v>6</v>
          </cell>
          <cell r="D164" t="str">
            <v>YES</v>
          </cell>
          <cell r="E164" t="str">
            <v>NO</v>
          </cell>
          <cell r="F164" t="str">
            <v>YES</v>
          </cell>
          <cell r="G164" t="str">
            <v>NO</v>
          </cell>
          <cell r="H164" t="str">
            <v>YES</v>
          </cell>
          <cell r="I164" t="str">
            <v>YES</v>
          </cell>
          <cell r="J164" t="str">
            <v>NO</v>
          </cell>
          <cell r="K164" t="str">
            <v>YES</v>
          </cell>
          <cell r="L164" t="str">
            <v>YES</v>
          </cell>
          <cell r="M164" t="str">
            <v>NO</v>
          </cell>
          <cell r="N164" t="str">
            <v>NO</v>
          </cell>
        </row>
        <row r="165">
          <cell r="A165">
            <v>2630</v>
          </cell>
          <cell r="B165">
            <v>570</v>
          </cell>
          <cell r="C165">
            <v>6</v>
          </cell>
          <cell r="D165" t="str">
            <v>YES</v>
          </cell>
          <cell r="E165" t="str">
            <v>NO</v>
          </cell>
          <cell r="F165" t="str">
            <v>YES</v>
          </cell>
          <cell r="G165" t="str">
            <v>NO</v>
          </cell>
          <cell r="H165" t="str">
            <v>YES</v>
          </cell>
          <cell r="I165" t="str">
            <v>YES</v>
          </cell>
          <cell r="J165" t="str">
            <v>NO</v>
          </cell>
          <cell r="K165" t="str">
            <v>YES</v>
          </cell>
          <cell r="L165" t="str">
            <v>YES</v>
          </cell>
          <cell r="M165" t="str">
            <v>NO</v>
          </cell>
          <cell r="N165" t="str">
            <v>NO</v>
          </cell>
        </row>
        <row r="166">
          <cell r="A166">
            <v>2634</v>
          </cell>
          <cell r="B166">
            <v>570</v>
          </cell>
          <cell r="C166">
            <v>6</v>
          </cell>
          <cell r="D166" t="str">
            <v>YES</v>
          </cell>
          <cell r="E166" t="str">
            <v>NO</v>
          </cell>
          <cell r="F166" t="str">
            <v>YES</v>
          </cell>
          <cell r="G166" t="str">
            <v>NO</v>
          </cell>
          <cell r="H166" t="str">
            <v>YES</v>
          </cell>
          <cell r="I166" t="str">
            <v>YES</v>
          </cell>
          <cell r="J166" t="str">
            <v>NO</v>
          </cell>
          <cell r="K166" t="str">
            <v>YES</v>
          </cell>
          <cell r="L166" t="str">
            <v>YES</v>
          </cell>
          <cell r="M166" t="str">
            <v>NO</v>
          </cell>
          <cell r="N166" t="str">
            <v>NO</v>
          </cell>
        </row>
        <row r="167">
          <cell r="A167">
            <v>2635</v>
          </cell>
          <cell r="B167">
            <v>570</v>
          </cell>
          <cell r="C167">
            <v>6</v>
          </cell>
          <cell r="D167" t="str">
            <v>YES</v>
          </cell>
          <cell r="E167" t="str">
            <v>NO</v>
          </cell>
          <cell r="F167" t="str">
            <v>YES</v>
          </cell>
          <cell r="G167" t="str">
            <v>NO</v>
          </cell>
          <cell r="H167" t="str">
            <v>YES</v>
          </cell>
          <cell r="I167" t="str">
            <v>YES</v>
          </cell>
          <cell r="J167" t="str">
            <v>NO</v>
          </cell>
          <cell r="K167" t="str">
            <v>YES</v>
          </cell>
          <cell r="L167" t="str">
            <v>YES</v>
          </cell>
          <cell r="M167" t="str">
            <v>NO</v>
          </cell>
          <cell r="N167" t="str">
            <v>NO</v>
          </cell>
        </row>
        <row r="168">
          <cell r="A168">
            <v>2636</v>
          </cell>
          <cell r="B168">
            <v>570</v>
          </cell>
          <cell r="C168">
            <v>6</v>
          </cell>
          <cell r="D168" t="str">
            <v>YES</v>
          </cell>
          <cell r="E168" t="str">
            <v>NO</v>
          </cell>
          <cell r="F168" t="str">
            <v>YES</v>
          </cell>
          <cell r="G168" t="str">
            <v>NO</v>
          </cell>
          <cell r="H168" t="str">
            <v>YES</v>
          </cell>
          <cell r="I168" t="str">
            <v>YES</v>
          </cell>
          <cell r="J168" t="str">
            <v>NO</v>
          </cell>
          <cell r="K168" t="str">
            <v>YES</v>
          </cell>
          <cell r="L168" t="str">
            <v>YES</v>
          </cell>
          <cell r="M168" t="str">
            <v>NO</v>
          </cell>
          <cell r="N168" t="str">
            <v>NO</v>
          </cell>
        </row>
        <row r="169">
          <cell r="A169">
            <v>2639</v>
          </cell>
          <cell r="B169">
            <v>570</v>
          </cell>
          <cell r="C169">
            <v>6</v>
          </cell>
          <cell r="D169" t="str">
            <v>YES</v>
          </cell>
          <cell r="E169" t="str">
            <v>NO</v>
          </cell>
          <cell r="F169" t="str">
            <v>YES</v>
          </cell>
          <cell r="G169" t="str">
            <v>NO</v>
          </cell>
          <cell r="H169" t="str">
            <v>YES</v>
          </cell>
          <cell r="I169" t="str">
            <v>YES</v>
          </cell>
          <cell r="J169" t="str">
            <v>NO</v>
          </cell>
          <cell r="K169" t="str">
            <v>YES</v>
          </cell>
          <cell r="L169" t="str">
            <v>YES</v>
          </cell>
          <cell r="M169" t="str">
            <v>NO</v>
          </cell>
          <cell r="N169" t="str">
            <v>NO</v>
          </cell>
        </row>
        <row r="170">
          <cell r="A170">
            <v>2640</v>
          </cell>
          <cell r="B170">
            <v>570</v>
          </cell>
          <cell r="C170">
            <v>6</v>
          </cell>
          <cell r="D170" t="str">
            <v>YES</v>
          </cell>
          <cell r="E170" t="str">
            <v>NO</v>
          </cell>
          <cell r="F170" t="str">
            <v>YES</v>
          </cell>
          <cell r="G170" t="str">
            <v>NO</v>
          </cell>
          <cell r="H170" t="str">
            <v>YES</v>
          </cell>
          <cell r="I170" t="str">
            <v>YES</v>
          </cell>
          <cell r="J170" t="str">
            <v>NO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NO</v>
          </cell>
        </row>
        <row r="171">
          <cell r="A171">
            <v>2644</v>
          </cell>
          <cell r="B171">
            <v>570</v>
          </cell>
          <cell r="C171">
            <v>6</v>
          </cell>
          <cell r="D171" t="str">
            <v>YES</v>
          </cell>
          <cell r="E171" t="str">
            <v>NO</v>
          </cell>
          <cell r="F171" t="str">
            <v>YES</v>
          </cell>
          <cell r="G171" t="str">
            <v>NO</v>
          </cell>
          <cell r="H171" t="str">
            <v>YES</v>
          </cell>
          <cell r="I171" t="str">
            <v>YES</v>
          </cell>
          <cell r="J171" t="str">
            <v>NO</v>
          </cell>
          <cell r="K171" t="str">
            <v>YES</v>
          </cell>
          <cell r="L171" t="str">
            <v>YES</v>
          </cell>
          <cell r="M171" t="str">
            <v>NO</v>
          </cell>
          <cell r="N171" t="str">
            <v>NO</v>
          </cell>
        </row>
        <row r="172">
          <cell r="A172">
            <v>2645</v>
          </cell>
          <cell r="B172">
            <v>570</v>
          </cell>
          <cell r="C172">
            <v>6</v>
          </cell>
          <cell r="D172" t="str">
            <v>YES</v>
          </cell>
          <cell r="E172" t="str">
            <v>NO</v>
          </cell>
          <cell r="F172" t="str">
            <v>YES</v>
          </cell>
          <cell r="G172" t="str">
            <v>NO</v>
          </cell>
          <cell r="H172" t="str">
            <v>YES</v>
          </cell>
          <cell r="I172" t="str">
            <v>YES</v>
          </cell>
          <cell r="J172" t="str">
            <v>NO</v>
          </cell>
          <cell r="K172" t="str">
            <v>YES</v>
          </cell>
          <cell r="L172" t="str">
            <v>YES</v>
          </cell>
          <cell r="M172" t="str">
            <v>NO</v>
          </cell>
          <cell r="N172" t="str">
            <v>NO</v>
          </cell>
        </row>
        <row r="173">
          <cell r="A173">
            <v>2649</v>
          </cell>
          <cell r="B173">
            <v>570</v>
          </cell>
          <cell r="C173">
            <v>6</v>
          </cell>
          <cell r="D173" t="str">
            <v>YES</v>
          </cell>
          <cell r="E173" t="str">
            <v>NO</v>
          </cell>
          <cell r="F173" t="str">
            <v>YES</v>
          </cell>
          <cell r="G173" t="str">
            <v>NO</v>
          </cell>
          <cell r="H173" t="str">
            <v>YES</v>
          </cell>
          <cell r="I173" t="str">
            <v>YES</v>
          </cell>
          <cell r="J173" t="str">
            <v>NO</v>
          </cell>
          <cell r="K173" t="str">
            <v>YES</v>
          </cell>
          <cell r="L173" t="str">
            <v>YES</v>
          </cell>
          <cell r="M173" t="str">
            <v>NO</v>
          </cell>
          <cell r="N173" t="str">
            <v>NO</v>
          </cell>
        </row>
        <row r="174">
          <cell r="A174">
            <v>2650</v>
          </cell>
          <cell r="B174">
            <v>570</v>
          </cell>
          <cell r="C174">
            <v>6</v>
          </cell>
          <cell r="D174" t="str">
            <v>YES</v>
          </cell>
          <cell r="E174" t="str">
            <v>NO</v>
          </cell>
          <cell r="F174" t="str">
            <v>YES</v>
          </cell>
          <cell r="G174" t="str">
            <v>NO</v>
          </cell>
          <cell r="H174" t="str">
            <v>YES</v>
          </cell>
          <cell r="I174" t="str">
            <v>YES</v>
          </cell>
          <cell r="J174" t="str">
            <v>NO</v>
          </cell>
          <cell r="K174" t="str">
            <v>YES</v>
          </cell>
          <cell r="L174" t="str">
            <v>YES</v>
          </cell>
          <cell r="M174" t="str">
            <v>NO</v>
          </cell>
          <cell r="N174" t="str">
            <v>NO</v>
          </cell>
        </row>
        <row r="175">
          <cell r="A175">
            <v>2654</v>
          </cell>
          <cell r="B175">
            <v>570</v>
          </cell>
          <cell r="C175">
            <v>6</v>
          </cell>
          <cell r="D175" t="str">
            <v>YES</v>
          </cell>
          <cell r="E175" t="str">
            <v>NO</v>
          </cell>
          <cell r="F175" t="str">
            <v>YES</v>
          </cell>
          <cell r="G175" t="str">
            <v>NO</v>
          </cell>
          <cell r="H175" t="str">
            <v>YES</v>
          </cell>
          <cell r="I175" t="str">
            <v>YES</v>
          </cell>
          <cell r="J175" t="str">
            <v>NO</v>
          </cell>
          <cell r="K175" t="str">
            <v>YES</v>
          </cell>
          <cell r="L175" t="str">
            <v>YES</v>
          </cell>
          <cell r="M175" t="str">
            <v>NO</v>
          </cell>
          <cell r="N175" t="str">
            <v>NO</v>
          </cell>
        </row>
        <row r="176">
          <cell r="A176">
            <v>2655</v>
          </cell>
          <cell r="B176">
            <v>570</v>
          </cell>
          <cell r="C176">
            <v>6</v>
          </cell>
          <cell r="D176" t="str">
            <v>YES</v>
          </cell>
          <cell r="E176" t="str">
            <v>NO</v>
          </cell>
          <cell r="F176" t="str">
            <v>YES</v>
          </cell>
          <cell r="G176" t="str">
            <v>NO</v>
          </cell>
          <cell r="H176" t="str">
            <v>YES</v>
          </cell>
          <cell r="I176" t="str">
            <v>YES</v>
          </cell>
          <cell r="J176" t="str">
            <v>NO</v>
          </cell>
          <cell r="K176" t="str">
            <v>YES</v>
          </cell>
          <cell r="L176" t="str">
            <v>YES</v>
          </cell>
          <cell r="M176" t="str">
            <v>NO</v>
          </cell>
          <cell r="N176" t="str">
            <v>NO</v>
          </cell>
        </row>
        <row r="177">
          <cell r="A177">
            <v>2659</v>
          </cell>
          <cell r="B177">
            <v>570</v>
          </cell>
          <cell r="C177">
            <v>6</v>
          </cell>
          <cell r="D177" t="str">
            <v>YES</v>
          </cell>
          <cell r="E177" t="str">
            <v>NO</v>
          </cell>
          <cell r="F177" t="str">
            <v>YES</v>
          </cell>
          <cell r="G177" t="str">
            <v>NO</v>
          </cell>
          <cell r="H177" t="str">
            <v>YES</v>
          </cell>
          <cell r="I177" t="str">
            <v>YES</v>
          </cell>
          <cell r="J177" t="str">
            <v>NO</v>
          </cell>
          <cell r="K177" t="str">
            <v>YES</v>
          </cell>
          <cell r="L177" t="str">
            <v>YES</v>
          </cell>
          <cell r="M177" t="str">
            <v>NO</v>
          </cell>
          <cell r="N177" t="str">
            <v>NO</v>
          </cell>
        </row>
        <row r="178">
          <cell r="A178">
            <v>2660</v>
          </cell>
          <cell r="B178">
            <v>570</v>
          </cell>
          <cell r="C178">
            <v>6</v>
          </cell>
          <cell r="D178" t="str">
            <v>YES</v>
          </cell>
          <cell r="E178" t="str">
            <v>NO</v>
          </cell>
          <cell r="F178" t="str">
            <v>YES</v>
          </cell>
          <cell r="G178" t="str">
            <v>NO</v>
          </cell>
          <cell r="H178" t="str">
            <v>YES</v>
          </cell>
          <cell r="I178" t="str">
            <v>YES</v>
          </cell>
          <cell r="J178" t="str">
            <v>NO</v>
          </cell>
          <cell r="K178" t="str">
            <v>YES</v>
          </cell>
          <cell r="L178" t="str">
            <v>YES</v>
          </cell>
          <cell r="M178" t="str">
            <v>NO</v>
          </cell>
          <cell r="N178" t="str">
            <v>NO</v>
          </cell>
        </row>
        <row r="179">
          <cell r="A179">
            <v>2664</v>
          </cell>
          <cell r="B179">
            <v>570</v>
          </cell>
          <cell r="C179">
            <v>6</v>
          </cell>
          <cell r="D179" t="str">
            <v>YES</v>
          </cell>
          <cell r="E179" t="str">
            <v>NO</v>
          </cell>
          <cell r="F179" t="str">
            <v>YES</v>
          </cell>
          <cell r="G179" t="str">
            <v>NO</v>
          </cell>
          <cell r="H179" t="str">
            <v>YES</v>
          </cell>
          <cell r="I179" t="str">
            <v>YES</v>
          </cell>
          <cell r="J179" t="str">
            <v>NO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NO</v>
          </cell>
        </row>
        <row r="180">
          <cell r="A180">
            <v>2665</v>
          </cell>
          <cell r="B180">
            <v>570</v>
          </cell>
          <cell r="C180">
            <v>6</v>
          </cell>
          <cell r="D180" t="str">
            <v>YES</v>
          </cell>
          <cell r="E180" t="str">
            <v>NO</v>
          </cell>
          <cell r="F180" t="str">
            <v>YES</v>
          </cell>
          <cell r="G180" t="str">
            <v>NO</v>
          </cell>
          <cell r="H180" t="str">
            <v>YES</v>
          </cell>
          <cell r="I180" t="str">
            <v>YES</v>
          </cell>
          <cell r="J180" t="str">
            <v>NO</v>
          </cell>
          <cell r="K180" t="str">
            <v>YES</v>
          </cell>
          <cell r="L180" t="str">
            <v>YES</v>
          </cell>
          <cell r="M180" t="str">
            <v>NO</v>
          </cell>
          <cell r="N180" t="str">
            <v>NO</v>
          </cell>
        </row>
        <row r="181">
          <cell r="A181">
            <v>2669</v>
          </cell>
          <cell r="B181">
            <v>570</v>
          </cell>
          <cell r="C181">
            <v>6</v>
          </cell>
          <cell r="D181" t="str">
            <v>YES</v>
          </cell>
          <cell r="E181" t="str">
            <v>NO</v>
          </cell>
          <cell r="F181" t="str">
            <v>YES</v>
          </cell>
          <cell r="G181" t="str">
            <v>NO</v>
          </cell>
          <cell r="H181" t="str">
            <v>YES</v>
          </cell>
          <cell r="I181" t="str">
            <v>YES</v>
          </cell>
          <cell r="J181" t="str">
            <v>NO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NO</v>
          </cell>
        </row>
        <row r="182">
          <cell r="A182">
            <v>2670</v>
          </cell>
          <cell r="B182">
            <v>570</v>
          </cell>
          <cell r="C182">
            <v>6</v>
          </cell>
          <cell r="D182" t="str">
            <v>YES</v>
          </cell>
          <cell r="E182" t="str">
            <v>NO</v>
          </cell>
          <cell r="F182" t="str">
            <v>YES</v>
          </cell>
          <cell r="G182" t="str">
            <v>NO</v>
          </cell>
          <cell r="H182" t="str">
            <v>YES</v>
          </cell>
          <cell r="I182" t="str">
            <v>YES</v>
          </cell>
          <cell r="J182" t="str">
            <v>NO</v>
          </cell>
          <cell r="K182" t="str">
            <v>YES</v>
          </cell>
          <cell r="L182" t="str">
            <v>YES</v>
          </cell>
          <cell r="M182" t="str">
            <v>NO</v>
          </cell>
          <cell r="N182" t="str">
            <v>NO</v>
          </cell>
        </row>
        <row r="183">
          <cell r="A183">
            <v>2671</v>
          </cell>
          <cell r="B183">
            <v>570</v>
          </cell>
          <cell r="C183">
            <v>6</v>
          </cell>
          <cell r="D183" t="str">
            <v>YES</v>
          </cell>
          <cell r="E183" t="str">
            <v>NO</v>
          </cell>
          <cell r="F183" t="str">
            <v>YES</v>
          </cell>
          <cell r="G183" t="str">
            <v>NO</v>
          </cell>
          <cell r="H183" t="str">
            <v>YES</v>
          </cell>
          <cell r="I183" t="str">
            <v>YES</v>
          </cell>
          <cell r="J183" t="str">
            <v>NO</v>
          </cell>
          <cell r="K183" t="str">
            <v>YES</v>
          </cell>
          <cell r="L183" t="str">
            <v>YES</v>
          </cell>
          <cell r="M183" t="str">
            <v>NO</v>
          </cell>
          <cell r="N183" t="str">
            <v>NO</v>
          </cell>
        </row>
        <row r="184">
          <cell r="A184">
            <v>2674</v>
          </cell>
          <cell r="B184">
            <v>570</v>
          </cell>
          <cell r="C184">
            <v>6</v>
          </cell>
          <cell r="D184" t="str">
            <v>YES</v>
          </cell>
          <cell r="E184" t="str">
            <v>NO</v>
          </cell>
          <cell r="F184" t="str">
            <v>YES</v>
          </cell>
          <cell r="G184" t="str">
            <v>NO</v>
          </cell>
          <cell r="H184" t="str">
            <v>YES</v>
          </cell>
          <cell r="I184" t="str">
            <v>YES</v>
          </cell>
          <cell r="J184" t="str">
            <v>NO</v>
          </cell>
          <cell r="K184" t="str">
            <v>YES</v>
          </cell>
          <cell r="L184" t="str">
            <v>YES</v>
          </cell>
          <cell r="M184" t="str">
            <v>NO</v>
          </cell>
          <cell r="N184" t="str">
            <v>NO</v>
          </cell>
        </row>
        <row r="185">
          <cell r="A185">
            <v>2675</v>
          </cell>
          <cell r="B185">
            <v>570</v>
          </cell>
          <cell r="C185">
            <v>6</v>
          </cell>
          <cell r="D185" t="str">
            <v>YES</v>
          </cell>
          <cell r="E185" t="str">
            <v>NO</v>
          </cell>
          <cell r="F185" t="str">
            <v>YES</v>
          </cell>
          <cell r="G185" t="str">
            <v>NO</v>
          </cell>
          <cell r="H185" t="str">
            <v>YES</v>
          </cell>
          <cell r="I185" t="str">
            <v>YES</v>
          </cell>
          <cell r="J185" t="str">
            <v>NO</v>
          </cell>
          <cell r="K185" t="str">
            <v>YES</v>
          </cell>
          <cell r="L185" t="str">
            <v>YES</v>
          </cell>
          <cell r="M185" t="str">
            <v>NO</v>
          </cell>
          <cell r="N185" t="str">
            <v>NO</v>
          </cell>
        </row>
        <row r="186">
          <cell r="A186">
            <v>2679</v>
          </cell>
          <cell r="B186">
            <v>570</v>
          </cell>
          <cell r="C186">
            <v>6</v>
          </cell>
          <cell r="D186" t="str">
            <v>YES</v>
          </cell>
          <cell r="E186" t="str">
            <v>NO</v>
          </cell>
          <cell r="F186" t="str">
            <v>YES</v>
          </cell>
          <cell r="G186" t="str">
            <v>NO</v>
          </cell>
          <cell r="H186" t="str">
            <v>YES</v>
          </cell>
          <cell r="I186" t="str">
            <v>YES</v>
          </cell>
          <cell r="J186" t="str">
            <v>NO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NO</v>
          </cell>
        </row>
        <row r="187">
          <cell r="A187">
            <v>2680</v>
          </cell>
          <cell r="B187">
            <v>570</v>
          </cell>
          <cell r="C187">
            <v>6</v>
          </cell>
          <cell r="D187" t="str">
            <v>YES</v>
          </cell>
          <cell r="E187" t="str">
            <v>NO</v>
          </cell>
          <cell r="F187" t="str">
            <v>YES</v>
          </cell>
          <cell r="G187" t="str">
            <v>NO</v>
          </cell>
          <cell r="H187" t="str">
            <v>YES</v>
          </cell>
          <cell r="I187" t="str">
            <v>YES</v>
          </cell>
          <cell r="J187" t="str">
            <v>NO</v>
          </cell>
          <cell r="K187" t="str">
            <v>YES</v>
          </cell>
          <cell r="L187" t="str">
            <v>YES</v>
          </cell>
          <cell r="M187" t="str">
            <v>NO</v>
          </cell>
          <cell r="N187" t="str">
            <v>NO</v>
          </cell>
        </row>
        <row r="188">
          <cell r="A188">
            <v>2681</v>
          </cell>
          <cell r="B188">
            <v>570</v>
          </cell>
          <cell r="C188">
            <v>6</v>
          </cell>
          <cell r="D188" t="str">
            <v>YES</v>
          </cell>
          <cell r="E188" t="str">
            <v>NO</v>
          </cell>
          <cell r="F188" t="str">
            <v>YES</v>
          </cell>
          <cell r="G188" t="str">
            <v>NO</v>
          </cell>
          <cell r="H188" t="str">
            <v>YES</v>
          </cell>
          <cell r="I188" t="str">
            <v>YES</v>
          </cell>
          <cell r="J188" t="str">
            <v>NO</v>
          </cell>
          <cell r="K188" t="str">
            <v>YES</v>
          </cell>
          <cell r="L188" t="str">
            <v>YES</v>
          </cell>
          <cell r="M188" t="str">
            <v>NO</v>
          </cell>
          <cell r="N188" t="str">
            <v>NO</v>
          </cell>
        </row>
        <row r="189">
          <cell r="A189">
            <v>2685</v>
          </cell>
          <cell r="B189">
            <v>570</v>
          </cell>
          <cell r="C189">
            <v>6</v>
          </cell>
          <cell r="D189" t="str">
            <v>YES</v>
          </cell>
          <cell r="E189" t="str">
            <v>NO</v>
          </cell>
          <cell r="F189" t="str">
            <v>YES</v>
          </cell>
          <cell r="G189" t="str">
            <v>NO</v>
          </cell>
          <cell r="H189" t="str">
            <v>YES</v>
          </cell>
          <cell r="I189" t="str">
            <v>YES</v>
          </cell>
          <cell r="J189" t="str">
            <v>NO</v>
          </cell>
          <cell r="K189" t="str">
            <v>YES</v>
          </cell>
          <cell r="L189" t="str">
            <v>YES</v>
          </cell>
          <cell r="M189" t="str">
            <v>NO</v>
          </cell>
          <cell r="N189" t="str">
            <v>NO</v>
          </cell>
        </row>
        <row r="190">
          <cell r="A190">
            <v>2686</v>
          </cell>
          <cell r="B190">
            <v>570</v>
          </cell>
          <cell r="C190">
            <v>6</v>
          </cell>
          <cell r="D190" t="str">
            <v>YES</v>
          </cell>
          <cell r="E190" t="str">
            <v>NO</v>
          </cell>
          <cell r="F190" t="str">
            <v>YES</v>
          </cell>
          <cell r="G190" t="str">
            <v>NO</v>
          </cell>
          <cell r="H190" t="str">
            <v>YES</v>
          </cell>
          <cell r="I190" t="str">
            <v>YES</v>
          </cell>
          <cell r="J190" t="str">
            <v>NO</v>
          </cell>
          <cell r="K190" t="str">
            <v>YES</v>
          </cell>
          <cell r="L190" t="str">
            <v>YES</v>
          </cell>
          <cell r="M190" t="str">
            <v>NO</v>
          </cell>
          <cell r="N190" t="str">
            <v>NO</v>
          </cell>
        </row>
        <row r="191">
          <cell r="A191">
            <v>2688</v>
          </cell>
          <cell r="B191">
            <v>570</v>
          </cell>
          <cell r="C191">
            <v>6</v>
          </cell>
          <cell r="D191" t="str">
            <v>YES</v>
          </cell>
          <cell r="E191" t="str">
            <v>NO</v>
          </cell>
          <cell r="F191" t="str">
            <v>YES</v>
          </cell>
          <cell r="G191" t="str">
            <v>NO</v>
          </cell>
          <cell r="H191" t="str">
            <v>YES</v>
          </cell>
          <cell r="I191" t="str">
            <v>YES</v>
          </cell>
          <cell r="J191" t="str">
            <v>NO</v>
          </cell>
          <cell r="K191" t="str">
            <v>YES</v>
          </cell>
          <cell r="L191" t="str">
            <v>YES</v>
          </cell>
          <cell r="M191" t="str">
            <v>NO</v>
          </cell>
          <cell r="N191" t="str">
            <v>NO</v>
          </cell>
        </row>
        <row r="192">
          <cell r="A192">
            <v>2689</v>
          </cell>
          <cell r="B192">
            <v>570</v>
          </cell>
          <cell r="C192">
            <v>6</v>
          </cell>
          <cell r="D192" t="str">
            <v>YES</v>
          </cell>
          <cell r="E192" t="str">
            <v>NO</v>
          </cell>
          <cell r="F192" t="str">
            <v>YES</v>
          </cell>
          <cell r="G192" t="str">
            <v>NO</v>
          </cell>
          <cell r="H192" t="str">
            <v>YES</v>
          </cell>
          <cell r="I192" t="str">
            <v>YES</v>
          </cell>
          <cell r="J192" t="str">
            <v>NO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NO</v>
          </cell>
        </row>
        <row r="193">
          <cell r="A193">
            <v>2690</v>
          </cell>
          <cell r="B193">
            <v>570</v>
          </cell>
          <cell r="C193">
            <v>6</v>
          </cell>
          <cell r="D193" t="str">
            <v>YES</v>
          </cell>
          <cell r="E193" t="str">
            <v>NO</v>
          </cell>
          <cell r="F193" t="str">
            <v>YES</v>
          </cell>
          <cell r="G193" t="str">
            <v>NO</v>
          </cell>
          <cell r="H193" t="str">
            <v>YES</v>
          </cell>
          <cell r="I193" t="str">
            <v>YES</v>
          </cell>
          <cell r="J193" t="str">
            <v>NO</v>
          </cell>
          <cell r="K193" t="str">
            <v>YES</v>
          </cell>
          <cell r="L193" t="str">
            <v>YES</v>
          </cell>
          <cell r="M193" t="str">
            <v>NO</v>
          </cell>
          <cell r="N193" t="str">
            <v>NO</v>
          </cell>
        </row>
        <row r="194">
          <cell r="A194">
            <v>2691</v>
          </cell>
          <cell r="B194">
            <v>570</v>
          </cell>
          <cell r="C194">
            <v>6</v>
          </cell>
          <cell r="D194" t="str">
            <v>YES</v>
          </cell>
          <cell r="E194" t="str">
            <v>NO</v>
          </cell>
          <cell r="F194" t="str">
            <v>YES</v>
          </cell>
          <cell r="G194" t="str">
            <v>NO</v>
          </cell>
          <cell r="H194" t="str">
            <v>YES</v>
          </cell>
          <cell r="I194" t="str">
            <v>YES</v>
          </cell>
          <cell r="J194" t="str">
            <v>NO</v>
          </cell>
          <cell r="K194" t="str">
            <v>YES</v>
          </cell>
          <cell r="L194" t="str">
            <v>YES</v>
          </cell>
          <cell r="M194" t="str">
            <v>NO</v>
          </cell>
          <cell r="N194" t="str">
            <v>NO</v>
          </cell>
        </row>
        <row r="195">
          <cell r="A195">
            <v>2694</v>
          </cell>
          <cell r="B195">
            <v>570</v>
          </cell>
          <cell r="C195">
            <v>6</v>
          </cell>
          <cell r="D195" t="str">
            <v>YES</v>
          </cell>
          <cell r="E195" t="str">
            <v>NO</v>
          </cell>
          <cell r="F195" t="str">
            <v>YES</v>
          </cell>
          <cell r="G195" t="str">
            <v>NO</v>
          </cell>
          <cell r="H195" t="str">
            <v>YES</v>
          </cell>
          <cell r="I195" t="str">
            <v>YES</v>
          </cell>
          <cell r="J195" t="str">
            <v>NO</v>
          </cell>
          <cell r="K195" t="str">
            <v>YES</v>
          </cell>
          <cell r="L195" t="str">
            <v>YES</v>
          </cell>
          <cell r="M195" t="str">
            <v>NO</v>
          </cell>
          <cell r="N195" t="str">
            <v>NO</v>
          </cell>
        </row>
        <row r="196">
          <cell r="A196">
            <v>2695</v>
          </cell>
          <cell r="B196">
            <v>570</v>
          </cell>
          <cell r="C196">
            <v>6</v>
          </cell>
          <cell r="D196" t="str">
            <v>YES</v>
          </cell>
          <cell r="E196" t="str">
            <v>NO</v>
          </cell>
          <cell r="F196" t="str">
            <v>YES</v>
          </cell>
          <cell r="G196" t="str">
            <v>NO</v>
          </cell>
          <cell r="H196" t="str">
            <v>YES</v>
          </cell>
          <cell r="I196" t="str">
            <v>YES</v>
          </cell>
          <cell r="J196" t="str">
            <v>NO</v>
          </cell>
          <cell r="K196" t="str">
            <v>YES</v>
          </cell>
          <cell r="L196" t="str">
            <v>YES</v>
          </cell>
          <cell r="M196" t="str">
            <v>NO</v>
          </cell>
          <cell r="N196" t="str">
            <v>NO</v>
          </cell>
        </row>
        <row r="197">
          <cell r="A197">
            <v>2696</v>
          </cell>
          <cell r="B197">
            <v>570</v>
          </cell>
          <cell r="C197">
            <v>6</v>
          </cell>
          <cell r="D197" t="str">
            <v>YES</v>
          </cell>
          <cell r="E197" t="str">
            <v>NO</v>
          </cell>
          <cell r="F197" t="str">
            <v>YES</v>
          </cell>
          <cell r="G197" t="str">
            <v>NO</v>
          </cell>
          <cell r="H197" t="str">
            <v>YES</v>
          </cell>
          <cell r="I197" t="str">
            <v>YES</v>
          </cell>
          <cell r="J197" t="str">
            <v>NO</v>
          </cell>
          <cell r="K197" t="str">
            <v>YES</v>
          </cell>
          <cell r="L197" t="str">
            <v>YES</v>
          </cell>
          <cell r="M197" t="str">
            <v>NO</v>
          </cell>
          <cell r="N197" t="str">
            <v>NO</v>
          </cell>
        </row>
        <row r="198">
          <cell r="A198">
            <v>2699</v>
          </cell>
          <cell r="B198">
            <v>570</v>
          </cell>
          <cell r="C198">
            <v>6</v>
          </cell>
          <cell r="D198" t="str">
            <v>YES</v>
          </cell>
          <cell r="E198" t="str">
            <v>NO</v>
          </cell>
          <cell r="F198" t="str">
            <v>YES</v>
          </cell>
          <cell r="G198" t="str">
            <v>NO</v>
          </cell>
          <cell r="H198" t="str">
            <v>YES</v>
          </cell>
          <cell r="I198" t="str">
            <v>YES</v>
          </cell>
          <cell r="J198" t="str">
            <v>NO</v>
          </cell>
          <cell r="K198" t="str">
            <v>YES</v>
          </cell>
          <cell r="L198" t="str">
            <v>YES</v>
          </cell>
          <cell r="M198" t="str">
            <v>NO</v>
          </cell>
          <cell r="N198" t="str">
            <v>NO</v>
          </cell>
        </row>
        <row r="199">
          <cell r="A199">
            <v>2700</v>
          </cell>
          <cell r="B199">
            <v>570</v>
          </cell>
          <cell r="C199">
            <v>6</v>
          </cell>
          <cell r="D199" t="str">
            <v>YES</v>
          </cell>
          <cell r="E199" t="str">
            <v>NO</v>
          </cell>
          <cell r="F199" t="str">
            <v>YES</v>
          </cell>
          <cell r="G199" t="str">
            <v>NO</v>
          </cell>
          <cell r="H199" t="str">
            <v>YES</v>
          </cell>
          <cell r="I199" t="str">
            <v>YES</v>
          </cell>
          <cell r="J199" t="str">
            <v>NO</v>
          </cell>
          <cell r="K199" t="str">
            <v>YES</v>
          </cell>
          <cell r="L199" t="str">
            <v>YES</v>
          </cell>
          <cell r="M199" t="str">
            <v>NO</v>
          </cell>
          <cell r="N199" t="str">
            <v>NO</v>
          </cell>
        </row>
        <row r="200">
          <cell r="A200">
            <v>2701</v>
          </cell>
          <cell r="B200">
            <v>570</v>
          </cell>
          <cell r="C200">
            <v>6</v>
          </cell>
          <cell r="D200" t="str">
            <v>YES</v>
          </cell>
          <cell r="E200" t="str">
            <v>NO</v>
          </cell>
          <cell r="F200" t="str">
            <v>YES</v>
          </cell>
          <cell r="G200" t="str">
            <v>NO</v>
          </cell>
          <cell r="H200" t="str">
            <v>YES</v>
          </cell>
          <cell r="I200" t="str">
            <v>YES</v>
          </cell>
          <cell r="J200" t="str">
            <v>NO</v>
          </cell>
          <cell r="K200" t="str">
            <v>YES</v>
          </cell>
          <cell r="L200" t="str">
            <v>YES</v>
          </cell>
          <cell r="M200" t="str">
            <v>NO</v>
          </cell>
          <cell r="N200" t="str">
            <v>NO</v>
          </cell>
        </row>
        <row r="201">
          <cell r="A201">
            <v>2704</v>
          </cell>
          <cell r="B201">
            <v>570</v>
          </cell>
          <cell r="C201">
            <v>6</v>
          </cell>
          <cell r="D201" t="str">
            <v>YES</v>
          </cell>
          <cell r="E201" t="str">
            <v>NO</v>
          </cell>
          <cell r="F201" t="str">
            <v>YES</v>
          </cell>
          <cell r="G201" t="str">
            <v>NO</v>
          </cell>
          <cell r="H201" t="str">
            <v>YES</v>
          </cell>
          <cell r="I201" t="str">
            <v>YES</v>
          </cell>
          <cell r="J201" t="str">
            <v>NO</v>
          </cell>
          <cell r="K201" t="str">
            <v>YES</v>
          </cell>
          <cell r="L201" t="str">
            <v>YES</v>
          </cell>
          <cell r="M201" t="str">
            <v>NO</v>
          </cell>
          <cell r="N201" t="str">
            <v>NO</v>
          </cell>
        </row>
        <row r="202">
          <cell r="A202">
            <v>2705</v>
          </cell>
          <cell r="B202">
            <v>570</v>
          </cell>
          <cell r="C202">
            <v>6</v>
          </cell>
          <cell r="D202" t="str">
            <v>YES</v>
          </cell>
          <cell r="E202" t="str">
            <v>NO</v>
          </cell>
          <cell r="F202" t="str">
            <v>YES</v>
          </cell>
          <cell r="G202" t="str">
            <v>NO</v>
          </cell>
          <cell r="H202" t="str">
            <v>YES</v>
          </cell>
          <cell r="I202" t="str">
            <v>YES</v>
          </cell>
          <cell r="J202" t="str">
            <v>NO</v>
          </cell>
          <cell r="K202" t="str">
            <v>YES</v>
          </cell>
          <cell r="L202" t="str">
            <v>YES</v>
          </cell>
          <cell r="M202" t="str">
            <v>NO</v>
          </cell>
          <cell r="N202" t="str">
            <v>NO</v>
          </cell>
        </row>
        <row r="203">
          <cell r="A203">
            <v>2706</v>
          </cell>
          <cell r="B203">
            <v>570</v>
          </cell>
          <cell r="C203">
            <v>6</v>
          </cell>
          <cell r="D203" t="str">
            <v>YES</v>
          </cell>
          <cell r="E203" t="str">
            <v>NO</v>
          </cell>
          <cell r="F203" t="str">
            <v>YES</v>
          </cell>
          <cell r="G203" t="str">
            <v>NO</v>
          </cell>
          <cell r="H203" t="str">
            <v>YES</v>
          </cell>
          <cell r="I203" t="str">
            <v>YES</v>
          </cell>
          <cell r="J203" t="str">
            <v>NO</v>
          </cell>
          <cell r="K203" t="str">
            <v>YES</v>
          </cell>
          <cell r="L203" t="str">
            <v>YES</v>
          </cell>
          <cell r="M203" t="str">
            <v>NO</v>
          </cell>
          <cell r="N203" t="str">
            <v>NO</v>
          </cell>
        </row>
        <row r="204">
          <cell r="A204">
            <v>2709</v>
          </cell>
          <cell r="B204">
            <v>570</v>
          </cell>
          <cell r="C204">
            <v>6</v>
          </cell>
          <cell r="D204" t="str">
            <v>YES</v>
          </cell>
          <cell r="E204" t="str">
            <v>NO</v>
          </cell>
          <cell r="F204" t="str">
            <v>YES</v>
          </cell>
          <cell r="G204" t="str">
            <v>NO</v>
          </cell>
          <cell r="H204" t="str">
            <v>YES</v>
          </cell>
          <cell r="I204" t="str">
            <v>YES</v>
          </cell>
          <cell r="J204" t="str">
            <v>NO</v>
          </cell>
          <cell r="K204" t="str">
            <v>YES</v>
          </cell>
          <cell r="L204" t="str">
            <v>YES</v>
          </cell>
          <cell r="M204" t="str">
            <v>NO</v>
          </cell>
          <cell r="N204" t="str">
            <v>NO</v>
          </cell>
        </row>
        <row r="205">
          <cell r="A205">
            <v>2710</v>
          </cell>
          <cell r="B205">
            <v>570</v>
          </cell>
          <cell r="C205">
            <v>6</v>
          </cell>
          <cell r="D205" t="str">
            <v>YES</v>
          </cell>
          <cell r="E205" t="str">
            <v>NO</v>
          </cell>
          <cell r="F205" t="str">
            <v>YES</v>
          </cell>
          <cell r="G205" t="str">
            <v>NO</v>
          </cell>
          <cell r="H205" t="str">
            <v>YES</v>
          </cell>
          <cell r="I205" t="str">
            <v>YES</v>
          </cell>
          <cell r="J205" t="str">
            <v>NO</v>
          </cell>
          <cell r="K205" t="str">
            <v>YES</v>
          </cell>
          <cell r="L205" t="str">
            <v>YES</v>
          </cell>
          <cell r="M205" t="str">
            <v>NO</v>
          </cell>
          <cell r="N205" t="str">
            <v>NO</v>
          </cell>
        </row>
        <row r="206">
          <cell r="A206">
            <v>2714</v>
          </cell>
          <cell r="B206">
            <v>570</v>
          </cell>
          <cell r="C206">
            <v>6</v>
          </cell>
          <cell r="D206" t="str">
            <v>YES</v>
          </cell>
          <cell r="E206" t="str">
            <v>NO</v>
          </cell>
          <cell r="F206" t="str">
            <v>YES</v>
          </cell>
          <cell r="G206" t="str">
            <v>NO</v>
          </cell>
          <cell r="H206" t="str">
            <v>YES</v>
          </cell>
          <cell r="I206" t="str">
            <v>YES</v>
          </cell>
          <cell r="J206" t="str">
            <v>NO</v>
          </cell>
          <cell r="K206" t="str">
            <v>YES</v>
          </cell>
          <cell r="L206" t="str">
            <v>YES</v>
          </cell>
          <cell r="M206" t="str">
            <v>NO</v>
          </cell>
          <cell r="N206" t="str">
            <v>NO</v>
          </cell>
        </row>
        <row r="207">
          <cell r="A207">
            <v>2715</v>
          </cell>
          <cell r="B207">
            <v>570</v>
          </cell>
          <cell r="C207">
            <v>6</v>
          </cell>
          <cell r="D207" t="str">
            <v>YES</v>
          </cell>
          <cell r="E207" t="str">
            <v>NO</v>
          </cell>
          <cell r="F207" t="str">
            <v>YES</v>
          </cell>
          <cell r="G207" t="str">
            <v>NO</v>
          </cell>
          <cell r="H207" t="str">
            <v>YES</v>
          </cell>
          <cell r="I207" t="str">
            <v>YES</v>
          </cell>
          <cell r="J207" t="str">
            <v>NO</v>
          </cell>
          <cell r="K207" t="str">
            <v>YES</v>
          </cell>
          <cell r="L207" t="str">
            <v>YES</v>
          </cell>
          <cell r="M207" t="str">
            <v>NO</v>
          </cell>
          <cell r="N207" t="str">
            <v>NO</v>
          </cell>
        </row>
        <row r="208">
          <cell r="A208">
            <v>2716</v>
          </cell>
          <cell r="B208">
            <v>570</v>
          </cell>
          <cell r="C208">
            <v>6</v>
          </cell>
          <cell r="D208" t="str">
            <v>YES</v>
          </cell>
          <cell r="E208" t="str">
            <v>NO</v>
          </cell>
          <cell r="F208" t="str">
            <v>YES</v>
          </cell>
          <cell r="G208" t="str">
            <v>NO</v>
          </cell>
          <cell r="H208" t="str">
            <v>YES</v>
          </cell>
          <cell r="I208" t="str">
            <v>YES</v>
          </cell>
          <cell r="J208" t="str">
            <v>NO</v>
          </cell>
          <cell r="K208" t="str">
            <v>YES</v>
          </cell>
          <cell r="L208" t="str">
            <v>YES</v>
          </cell>
          <cell r="M208" t="str">
            <v>NO</v>
          </cell>
          <cell r="N208" t="str">
            <v>NO</v>
          </cell>
        </row>
        <row r="209">
          <cell r="A209">
            <v>2719</v>
          </cell>
          <cell r="B209">
            <v>570</v>
          </cell>
          <cell r="C209">
            <v>6</v>
          </cell>
          <cell r="D209" t="str">
            <v>YES</v>
          </cell>
          <cell r="E209" t="str">
            <v>NO</v>
          </cell>
          <cell r="F209" t="str">
            <v>YES</v>
          </cell>
          <cell r="G209" t="str">
            <v>NO</v>
          </cell>
          <cell r="H209" t="str">
            <v>YES</v>
          </cell>
          <cell r="I209" t="str">
            <v>YES</v>
          </cell>
          <cell r="J209" t="str">
            <v>NO</v>
          </cell>
          <cell r="K209" t="str">
            <v>YES</v>
          </cell>
          <cell r="L209" t="str">
            <v>YES</v>
          </cell>
          <cell r="M209" t="str">
            <v>NO</v>
          </cell>
          <cell r="N209" t="str">
            <v>NO</v>
          </cell>
        </row>
        <row r="210">
          <cell r="A210">
            <v>2720</v>
          </cell>
          <cell r="B210">
            <v>570</v>
          </cell>
          <cell r="C210">
            <v>6</v>
          </cell>
          <cell r="D210" t="str">
            <v>YES</v>
          </cell>
          <cell r="E210" t="str">
            <v>NO</v>
          </cell>
          <cell r="F210" t="str">
            <v>YES</v>
          </cell>
          <cell r="G210" t="str">
            <v>NO</v>
          </cell>
          <cell r="H210" t="str">
            <v>YES</v>
          </cell>
          <cell r="I210" t="str">
            <v>YES</v>
          </cell>
          <cell r="J210" t="str">
            <v>NO</v>
          </cell>
          <cell r="K210" t="str">
            <v>YES</v>
          </cell>
          <cell r="L210" t="str">
            <v>YES</v>
          </cell>
          <cell r="M210" t="str">
            <v>NO</v>
          </cell>
          <cell r="N210" t="str">
            <v>NO</v>
          </cell>
        </row>
        <row r="211">
          <cell r="A211">
            <v>2724</v>
          </cell>
          <cell r="B211">
            <v>570</v>
          </cell>
          <cell r="C211">
            <v>6</v>
          </cell>
          <cell r="D211" t="str">
            <v>YES</v>
          </cell>
          <cell r="E211" t="str">
            <v>NO</v>
          </cell>
          <cell r="F211" t="str">
            <v>YES</v>
          </cell>
          <cell r="G211" t="str">
            <v>NO</v>
          </cell>
          <cell r="H211" t="str">
            <v>YES</v>
          </cell>
          <cell r="I211" t="str">
            <v>YES</v>
          </cell>
          <cell r="J211" t="str">
            <v>NO</v>
          </cell>
          <cell r="K211" t="str">
            <v>YES</v>
          </cell>
          <cell r="L211" t="str">
            <v>YES</v>
          </cell>
          <cell r="M211" t="str">
            <v>NO</v>
          </cell>
          <cell r="N211" t="str">
            <v>NO</v>
          </cell>
        </row>
        <row r="212">
          <cell r="A212">
            <v>2725</v>
          </cell>
          <cell r="B212">
            <v>570</v>
          </cell>
          <cell r="C212">
            <v>6</v>
          </cell>
          <cell r="D212" t="str">
            <v>YES</v>
          </cell>
          <cell r="E212" t="str">
            <v>NO</v>
          </cell>
          <cell r="F212" t="str">
            <v>YES</v>
          </cell>
          <cell r="G212" t="str">
            <v>NO</v>
          </cell>
          <cell r="H212" t="str">
            <v>YES</v>
          </cell>
          <cell r="I212" t="str">
            <v>YES</v>
          </cell>
          <cell r="J212" t="str">
            <v>NO</v>
          </cell>
          <cell r="K212" t="str">
            <v>YES</v>
          </cell>
          <cell r="L212" t="str">
            <v>YES</v>
          </cell>
          <cell r="M212" t="str">
            <v>NO</v>
          </cell>
          <cell r="N212" t="str">
            <v>NO</v>
          </cell>
        </row>
        <row r="213">
          <cell r="A213">
            <v>2726</v>
          </cell>
          <cell r="B213">
            <v>570</v>
          </cell>
          <cell r="C213">
            <v>6</v>
          </cell>
          <cell r="D213" t="str">
            <v>YES</v>
          </cell>
          <cell r="E213" t="str">
            <v>NO</v>
          </cell>
          <cell r="F213" t="str">
            <v>YES</v>
          </cell>
          <cell r="G213" t="str">
            <v>NO</v>
          </cell>
          <cell r="H213" t="str">
            <v>YES</v>
          </cell>
          <cell r="I213" t="str">
            <v>YES</v>
          </cell>
          <cell r="J213" t="str">
            <v>NO</v>
          </cell>
          <cell r="K213" t="str">
            <v>YES</v>
          </cell>
          <cell r="L213" t="str">
            <v>YES</v>
          </cell>
          <cell r="M213" t="str">
            <v>NO</v>
          </cell>
          <cell r="N213" t="str">
            <v>NO</v>
          </cell>
        </row>
        <row r="214">
          <cell r="A214">
            <v>2729</v>
          </cell>
          <cell r="B214">
            <v>570</v>
          </cell>
          <cell r="C214">
            <v>6</v>
          </cell>
          <cell r="D214" t="str">
            <v>YES</v>
          </cell>
          <cell r="E214" t="str">
            <v>NO</v>
          </cell>
          <cell r="F214" t="str">
            <v>YES</v>
          </cell>
          <cell r="G214" t="str">
            <v>NO</v>
          </cell>
          <cell r="H214" t="str">
            <v>YES</v>
          </cell>
          <cell r="I214" t="str">
            <v>YES</v>
          </cell>
          <cell r="J214" t="str">
            <v>NO</v>
          </cell>
          <cell r="K214" t="str">
            <v>YES</v>
          </cell>
          <cell r="L214" t="str">
            <v>YES</v>
          </cell>
          <cell r="M214" t="str">
            <v>NO</v>
          </cell>
          <cell r="N214" t="str">
            <v>NO</v>
          </cell>
        </row>
        <row r="215">
          <cell r="A215">
            <v>2730</v>
          </cell>
          <cell r="B215">
            <v>570</v>
          </cell>
          <cell r="C215">
            <v>6</v>
          </cell>
          <cell r="D215" t="str">
            <v>YES</v>
          </cell>
          <cell r="E215" t="str">
            <v>NO</v>
          </cell>
          <cell r="F215" t="str">
            <v>YES</v>
          </cell>
          <cell r="G215" t="str">
            <v>NO</v>
          </cell>
          <cell r="H215" t="str">
            <v>YES</v>
          </cell>
          <cell r="I215" t="str">
            <v>YES</v>
          </cell>
          <cell r="J215" t="str">
            <v>NO</v>
          </cell>
          <cell r="K215" t="str">
            <v>YES</v>
          </cell>
          <cell r="L215" t="str">
            <v>YES</v>
          </cell>
          <cell r="M215" t="str">
            <v>NO</v>
          </cell>
          <cell r="N215" t="str">
            <v>NO</v>
          </cell>
        </row>
        <row r="216">
          <cell r="A216">
            <v>2734</v>
          </cell>
          <cell r="B216">
            <v>570</v>
          </cell>
          <cell r="C216">
            <v>6</v>
          </cell>
          <cell r="D216" t="str">
            <v>YES</v>
          </cell>
          <cell r="E216" t="str">
            <v>NO</v>
          </cell>
          <cell r="F216" t="str">
            <v>YES</v>
          </cell>
          <cell r="G216" t="str">
            <v>NO</v>
          </cell>
          <cell r="H216" t="str">
            <v>YES</v>
          </cell>
          <cell r="I216" t="str">
            <v>YES</v>
          </cell>
          <cell r="J216" t="str">
            <v>NO</v>
          </cell>
          <cell r="K216" t="str">
            <v>YES</v>
          </cell>
          <cell r="L216" t="str">
            <v>YES</v>
          </cell>
          <cell r="M216" t="str">
            <v>NO</v>
          </cell>
          <cell r="N216" t="str">
            <v>NO</v>
          </cell>
        </row>
        <row r="217">
          <cell r="A217">
            <v>2735</v>
          </cell>
          <cell r="B217">
            <v>570</v>
          </cell>
          <cell r="C217">
            <v>6</v>
          </cell>
          <cell r="D217" t="str">
            <v>YES</v>
          </cell>
          <cell r="E217" t="str">
            <v>NO</v>
          </cell>
          <cell r="F217" t="str">
            <v>YES</v>
          </cell>
          <cell r="G217" t="str">
            <v>NO</v>
          </cell>
          <cell r="H217" t="str">
            <v>YES</v>
          </cell>
          <cell r="I217" t="str">
            <v>YES</v>
          </cell>
          <cell r="J217" t="str">
            <v>NO</v>
          </cell>
          <cell r="K217" t="str">
            <v>YES</v>
          </cell>
          <cell r="L217" t="str">
            <v>YES</v>
          </cell>
          <cell r="M217" t="str">
            <v>NO</v>
          </cell>
          <cell r="N217" t="str">
            <v>NO</v>
          </cell>
        </row>
        <row r="218">
          <cell r="A218">
            <v>2736</v>
          </cell>
          <cell r="B218">
            <v>570</v>
          </cell>
          <cell r="C218">
            <v>6</v>
          </cell>
          <cell r="D218" t="str">
            <v>YES</v>
          </cell>
          <cell r="E218" t="str">
            <v>NO</v>
          </cell>
          <cell r="F218" t="str">
            <v>YES</v>
          </cell>
          <cell r="G218" t="str">
            <v>NO</v>
          </cell>
          <cell r="H218" t="str">
            <v>YES</v>
          </cell>
          <cell r="I218" t="str">
            <v>YES</v>
          </cell>
          <cell r="J218" t="str">
            <v>NO</v>
          </cell>
          <cell r="K218" t="str">
            <v>YES</v>
          </cell>
          <cell r="L218" t="str">
            <v>YES</v>
          </cell>
          <cell r="M218" t="str">
            <v>NO</v>
          </cell>
          <cell r="N218" t="str">
            <v>NO</v>
          </cell>
        </row>
        <row r="219">
          <cell r="A219">
            <v>2739</v>
          </cell>
          <cell r="B219">
            <v>570</v>
          </cell>
          <cell r="C219">
            <v>6</v>
          </cell>
          <cell r="D219" t="str">
            <v>YES</v>
          </cell>
          <cell r="E219" t="str">
            <v>NO</v>
          </cell>
          <cell r="F219" t="str">
            <v>YES</v>
          </cell>
          <cell r="G219" t="str">
            <v>NO</v>
          </cell>
          <cell r="H219" t="str">
            <v>YES</v>
          </cell>
          <cell r="I219" t="str">
            <v>YES</v>
          </cell>
          <cell r="J219" t="str">
            <v>NO</v>
          </cell>
          <cell r="K219" t="str">
            <v>YES</v>
          </cell>
          <cell r="L219" t="str">
            <v>YES</v>
          </cell>
          <cell r="M219" t="str">
            <v>NO</v>
          </cell>
          <cell r="N219" t="str">
            <v>NO</v>
          </cell>
        </row>
        <row r="220">
          <cell r="A220">
            <v>2740</v>
          </cell>
          <cell r="B220">
            <v>570</v>
          </cell>
          <cell r="C220">
            <v>6</v>
          </cell>
          <cell r="D220" t="str">
            <v>YES</v>
          </cell>
          <cell r="E220" t="str">
            <v>NO</v>
          </cell>
          <cell r="F220" t="str">
            <v>YES</v>
          </cell>
          <cell r="G220" t="str">
            <v>NO</v>
          </cell>
          <cell r="H220" t="str">
            <v>YES</v>
          </cell>
          <cell r="I220" t="str">
            <v>YES</v>
          </cell>
          <cell r="J220" t="str">
            <v>NO</v>
          </cell>
          <cell r="K220" t="str">
            <v>YES</v>
          </cell>
          <cell r="L220" t="str">
            <v>YES</v>
          </cell>
          <cell r="M220" t="str">
            <v>NO</v>
          </cell>
          <cell r="N220" t="str">
            <v>NO</v>
          </cell>
        </row>
        <row r="221">
          <cell r="A221">
            <v>2744</v>
          </cell>
          <cell r="B221">
            <v>570</v>
          </cell>
          <cell r="C221">
            <v>6</v>
          </cell>
          <cell r="D221" t="str">
            <v>YES</v>
          </cell>
          <cell r="E221" t="str">
            <v>NO</v>
          </cell>
          <cell r="F221" t="str">
            <v>YES</v>
          </cell>
          <cell r="G221" t="str">
            <v>NO</v>
          </cell>
          <cell r="H221" t="str">
            <v>YES</v>
          </cell>
          <cell r="I221" t="str">
            <v>YES</v>
          </cell>
          <cell r="J221" t="str">
            <v>NO</v>
          </cell>
          <cell r="K221" t="str">
            <v>YES</v>
          </cell>
          <cell r="L221" t="str">
            <v>YES</v>
          </cell>
          <cell r="M221" t="str">
            <v>NO</v>
          </cell>
          <cell r="N221" t="str">
            <v>NO</v>
          </cell>
        </row>
        <row r="222">
          <cell r="A222">
            <v>2745</v>
          </cell>
          <cell r="B222">
            <v>570</v>
          </cell>
          <cell r="C222">
            <v>6</v>
          </cell>
          <cell r="D222" t="str">
            <v>YES</v>
          </cell>
          <cell r="E222" t="str">
            <v>NO</v>
          </cell>
          <cell r="F222" t="str">
            <v>YES</v>
          </cell>
          <cell r="G222" t="str">
            <v>NO</v>
          </cell>
          <cell r="H222" t="str">
            <v>YES</v>
          </cell>
          <cell r="I222" t="str">
            <v>YES</v>
          </cell>
          <cell r="J222" t="str">
            <v>NO</v>
          </cell>
          <cell r="K222" t="str">
            <v>YES</v>
          </cell>
          <cell r="L222" t="str">
            <v>YES</v>
          </cell>
          <cell r="M222" t="str">
            <v>NO</v>
          </cell>
          <cell r="N222" t="str">
            <v>NO</v>
          </cell>
        </row>
        <row r="223">
          <cell r="A223">
            <v>2746</v>
          </cell>
          <cell r="B223">
            <v>570</v>
          </cell>
          <cell r="C223">
            <v>6</v>
          </cell>
          <cell r="D223" t="str">
            <v>YES</v>
          </cell>
          <cell r="E223" t="str">
            <v>NO</v>
          </cell>
          <cell r="F223" t="str">
            <v>YES</v>
          </cell>
          <cell r="G223" t="str">
            <v>NO</v>
          </cell>
          <cell r="H223" t="str">
            <v>YES</v>
          </cell>
          <cell r="I223" t="str">
            <v>YES</v>
          </cell>
          <cell r="J223" t="str">
            <v>NO</v>
          </cell>
          <cell r="K223" t="str">
            <v>YES</v>
          </cell>
          <cell r="L223" t="str">
            <v>YES</v>
          </cell>
          <cell r="M223" t="str">
            <v>NO</v>
          </cell>
          <cell r="N223" t="str">
            <v>NO</v>
          </cell>
        </row>
        <row r="224">
          <cell r="A224">
            <v>2749</v>
          </cell>
          <cell r="B224">
            <v>570</v>
          </cell>
          <cell r="C224">
            <v>6</v>
          </cell>
          <cell r="D224" t="str">
            <v>YES</v>
          </cell>
          <cell r="E224" t="str">
            <v>NO</v>
          </cell>
          <cell r="F224" t="str">
            <v>YES</v>
          </cell>
          <cell r="G224" t="str">
            <v>NO</v>
          </cell>
          <cell r="H224" t="str">
            <v>YES</v>
          </cell>
          <cell r="I224" t="str">
            <v>YES</v>
          </cell>
          <cell r="J224" t="str">
            <v>NO</v>
          </cell>
          <cell r="K224" t="str">
            <v>YES</v>
          </cell>
          <cell r="L224" t="str">
            <v>YES</v>
          </cell>
          <cell r="M224" t="str">
            <v>NO</v>
          </cell>
          <cell r="N224" t="str">
            <v>NO</v>
          </cell>
        </row>
        <row r="225">
          <cell r="A225">
            <v>2750</v>
          </cell>
          <cell r="B225">
            <v>570</v>
          </cell>
          <cell r="C225">
            <v>6</v>
          </cell>
          <cell r="D225" t="str">
            <v>YES</v>
          </cell>
          <cell r="E225" t="str">
            <v>NO</v>
          </cell>
          <cell r="F225" t="str">
            <v>YES</v>
          </cell>
          <cell r="G225" t="str">
            <v>NO</v>
          </cell>
          <cell r="H225" t="str">
            <v>YES</v>
          </cell>
          <cell r="I225" t="str">
            <v>YES</v>
          </cell>
          <cell r="J225" t="str">
            <v>NO</v>
          </cell>
          <cell r="K225" t="str">
            <v>YES</v>
          </cell>
          <cell r="L225" t="str">
            <v>YES</v>
          </cell>
          <cell r="M225" t="str">
            <v>NO</v>
          </cell>
          <cell r="N225" t="str">
            <v>NO</v>
          </cell>
        </row>
        <row r="226">
          <cell r="A226">
            <v>2751</v>
          </cell>
          <cell r="B226">
            <v>570</v>
          </cell>
          <cell r="C226">
            <v>6</v>
          </cell>
          <cell r="D226" t="str">
            <v>YES</v>
          </cell>
          <cell r="E226" t="str">
            <v>NO</v>
          </cell>
          <cell r="F226" t="str">
            <v>YES</v>
          </cell>
          <cell r="G226" t="str">
            <v>NO</v>
          </cell>
          <cell r="H226" t="str">
            <v>YES</v>
          </cell>
          <cell r="I226" t="str">
            <v>YES</v>
          </cell>
          <cell r="J226" t="str">
            <v>NO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NO</v>
          </cell>
        </row>
        <row r="227">
          <cell r="A227">
            <v>2754</v>
          </cell>
          <cell r="B227">
            <v>570</v>
          </cell>
          <cell r="C227">
            <v>6</v>
          </cell>
          <cell r="D227" t="str">
            <v>YES</v>
          </cell>
          <cell r="E227" t="str">
            <v>NO</v>
          </cell>
          <cell r="F227" t="str">
            <v>YES</v>
          </cell>
          <cell r="G227" t="str">
            <v>NO</v>
          </cell>
          <cell r="H227" t="str">
            <v>YES</v>
          </cell>
          <cell r="I227" t="str">
            <v>YES</v>
          </cell>
          <cell r="J227" t="str">
            <v>NO</v>
          </cell>
          <cell r="K227" t="str">
            <v>YES</v>
          </cell>
          <cell r="L227" t="str">
            <v>YES</v>
          </cell>
          <cell r="M227" t="str">
            <v>NO</v>
          </cell>
          <cell r="N227" t="str">
            <v>NO</v>
          </cell>
        </row>
        <row r="228">
          <cell r="A228">
            <v>2755</v>
          </cell>
          <cell r="B228">
            <v>570</v>
          </cell>
          <cell r="C228">
            <v>6</v>
          </cell>
          <cell r="D228" t="str">
            <v>YES</v>
          </cell>
          <cell r="E228" t="str">
            <v>NO</v>
          </cell>
          <cell r="F228" t="str">
            <v>YES</v>
          </cell>
          <cell r="G228" t="str">
            <v>NO</v>
          </cell>
          <cell r="H228" t="str">
            <v>YES</v>
          </cell>
          <cell r="I228" t="str">
            <v>YES</v>
          </cell>
          <cell r="J228" t="str">
            <v>NO</v>
          </cell>
          <cell r="K228" t="str">
            <v>YES</v>
          </cell>
          <cell r="L228" t="str">
            <v>YES</v>
          </cell>
          <cell r="M228" t="str">
            <v>NO</v>
          </cell>
          <cell r="N228" t="str">
            <v>NO</v>
          </cell>
        </row>
        <row r="229">
          <cell r="A229">
            <v>2756</v>
          </cell>
          <cell r="B229">
            <v>570</v>
          </cell>
          <cell r="C229">
            <v>6</v>
          </cell>
          <cell r="D229" t="str">
            <v>YES</v>
          </cell>
          <cell r="E229" t="str">
            <v>NO</v>
          </cell>
          <cell r="F229" t="str">
            <v>YES</v>
          </cell>
          <cell r="G229" t="str">
            <v>NO</v>
          </cell>
          <cell r="H229" t="str">
            <v>YES</v>
          </cell>
          <cell r="I229" t="str">
            <v>YES</v>
          </cell>
          <cell r="J229" t="str">
            <v>NO</v>
          </cell>
          <cell r="K229" t="str">
            <v>YES</v>
          </cell>
          <cell r="L229" t="str">
            <v>YES</v>
          </cell>
          <cell r="M229" t="str">
            <v>NO</v>
          </cell>
          <cell r="N229" t="str">
            <v>NO</v>
          </cell>
        </row>
        <row r="230">
          <cell r="A230">
            <v>2760</v>
          </cell>
          <cell r="B230">
            <v>570</v>
          </cell>
          <cell r="C230">
            <v>6</v>
          </cell>
          <cell r="D230" t="str">
            <v>YES</v>
          </cell>
          <cell r="E230" t="str">
            <v>NO</v>
          </cell>
          <cell r="F230" t="str">
            <v>YES</v>
          </cell>
          <cell r="G230" t="str">
            <v>NO</v>
          </cell>
          <cell r="H230" t="str">
            <v>YES</v>
          </cell>
          <cell r="I230" t="str">
            <v>YES</v>
          </cell>
          <cell r="J230" t="str">
            <v>NO</v>
          </cell>
          <cell r="K230" t="str">
            <v>YES</v>
          </cell>
          <cell r="L230" t="str">
            <v>YES</v>
          </cell>
          <cell r="M230" t="str">
            <v>NO</v>
          </cell>
          <cell r="N230" t="str">
            <v>NO</v>
          </cell>
        </row>
        <row r="231">
          <cell r="A231">
            <v>2761</v>
          </cell>
          <cell r="B231">
            <v>570</v>
          </cell>
          <cell r="C231">
            <v>6</v>
          </cell>
          <cell r="D231" t="str">
            <v>YES</v>
          </cell>
          <cell r="E231" t="str">
            <v>NO</v>
          </cell>
          <cell r="F231" t="str">
            <v>YES</v>
          </cell>
          <cell r="G231" t="str">
            <v>NO</v>
          </cell>
          <cell r="H231" t="str">
            <v>YES</v>
          </cell>
          <cell r="I231" t="str">
            <v>YES</v>
          </cell>
          <cell r="J231" t="str">
            <v>NO</v>
          </cell>
          <cell r="K231" t="str">
            <v>YES</v>
          </cell>
          <cell r="L231" t="str">
            <v>YES</v>
          </cell>
          <cell r="M231" t="str">
            <v>NO</v>
          </cell>
          <cell r="N231" t="str">
            <v>NO</v>
          </cell>
        </row>
        <row r="232">
          <cell r="A232">
            <v>2765</v>
          </cell>
          <cell r="B232">
            <v>570</v>
          </cell>
          <cell r="C232">
            <v>6</v>
          </cell>
          <cell r="D232" t="str">
            <v>YES</v>
          </cell>
          <cell r="E232" t="str">
            <v>NO</v>
          </cell>
          <cell r="F232" t="str">
            <v>YES</v>
          </cell>
          <cell r="G232" t="str">
            <v>NO</v>
          </cell>
          <cell r="H232" t="str">
            <v>YES</v>
          </cell>
          <cell r="I232" t="str">
            <v>YES</v>
          </cell>
          <cell r="J232" t="str">
            <v>NO</v>
          </cell>
          <cell r="K232" t="str">
            <v>YES</v>
          </cell>
          <cell r="L232" t="str">
            <v>YES</v>
          </cell>
          <cell r="M232" t="str">
            <v>NO</v>
          </cell>
          <cell r="N232" t="str">
            <v>NO</v>
          </cell>
        </row>
        <row r="233">
          <cell r="A233">
            <v>2768</v>
          </cell>
          <cell r="B233">
            <v>570</v>
          </cell>
          <cell r="C233">
            <v>6</v>
          </cell>
          <cell r="D233" t="str">
            <v>YES</v>
          </cell>
          <cell r="E233" t="str">
            <v>NO</v>
          </cell>
          <cell r="F233" t="str">
            <v>YES</v>
          </cell>
          <cell r="G233" t="str">
            <v>NO</v>
          </cell>
          <cell r="H233" t="str">
            <v>YES</v>
          </cell>
          <cell r="I233" t="str">
            <v>YES</v>
          </cell>
          <cell r="J233" t="str">
            <v>NO</v>
          </cell>
          <cell r="K233" t="str">
            <v>YES</v>
          </cell>
          <cell r="L233" t="str">
            <v>YES</v>
          </cell>
          <cell r="M233" t="str">
            <v>NO</v>
          </cell>
          <cell r="N233" t="str">
            <v>NO</v>
          </cell>
        </row>
        <row r="234">
          <cell r="A234">
            <v>2769</v>
          </cell>
          <cell r="B234">
            <v>570</v>
          </cell>
          <cell r="C234">
            <v>6</v>
          </cell>
          <cell r="D234" t="str">
            <v>YES</v>
          </cell>
          <cell r="E234" t="str">
            <v>NO</v>
          </cell>
          <cell r="F234" t="str">
            <v>YES</v>
          </cell>
          <cell r="G234" t="str">
            <v>NO</v>
          </cell>
          <cell r="H234" t="str">
            <v>YES</v>
          </cell>
          <cell r="I234" t="str">
            <v>YES</v>
          </cell>
          <cell r="J234" t="str">
            <v>NO</v>
          </cell>
          <cell r="K234" t="str">
            <v>YES</v>
          </cell>
          <cell r="L234" t="str">
            <v>YES</v>
          </cell>
          <cell r="M234" t="str">
            <v>NO</v>
          </cell>
          <cell r="N234" t="str">
            <v>NO</v>
          </cell>
        </row>
        <row r="235">
          <cell r="A235">
            <v>2770</v>
          </cell>
          <cell r="B235">
            <v>570</v>
          </cell>
          <cell r="C235">
            <v>6</v>
          </cell>
          <cell r="D235" t="str">
            <v>YES</v>
          </cell>
          <cell r="E235" t="str">
            <v>NO</v>
          </cell>
          <cell r="F235" t="str">
            <v>YES</v>
          </cell>
          <cell r="G235" t="str">
            <v>NO</v>
          </cell>
          <cell r="H235" t="str">
            <v>YES</v>
          </cell>
          <cell r="I235" t="str">
            <v>YES</v>
          </cell>
          <cell r="J235" t="str">
            <v>NO</v>
          </cell>
          <cell r="K235" t="str">
            <v>YES</v>
          </cell>
          <cell r="L235" t="str">
            <v>YES</v>
          </cell>
          <cell r="M235" t="str">
            <v>NO</v>
          </cell>
          <cell r="N235" t="str">
            <v>NO</v>
          </cell>
        </row>
        <row r="236">
          <cell r="A236">
            <v>2774</v>
          </cell>
          <cell r="B236">
            <v>570</v>
          </cell>
          <cell r="C236">
            <v>6</v>
          </cell>
          <cell r="D236" t="str">
            <v>YES</v>
          </cell>
          <cell r="E236" t="str">
            <v>NO</v>
          </cell>
          <cell r="F236" t="str">
            <v>YES</v>
          </cell>
          <cell r="G236" t="str">
            <v>NO</v>
          </cell>
          <cell r="H236" t="str">
            <v>YES</v>
          </cell>
          <cell r="I236" t="str">
            <v>YES</v>
          </cell>
          <cell r="J236" t="str">
            <v>NO</v>
          </cell>
          <cell r="K236" t="str">
            <v>YES</v>
          </cell>
          <cell r="L236" t="str">
            <v>YES</v>
          </cell>
          <cell r="M236" t="str">
            <v>NO</v>
          </cell>
          <cell r="N236" t="str">
            <v>NO</v>
          </cell>
        </row>
        <row r="237">
          <cell r="A237">
            <v>2775</v>
          </cell>
          <cell r="B237">
            <v>570</v>
          </cell>
          <cell r="C237">
            <v>6</v>
          </cell>
          <cell r="D237" t="str">
            <v>YES</v>
          </cell>
          <cell r="E237" t="str">
            <v>NO</v>
          </cell>
          <cell r="F237" t="str">
            <v>YES</v>
          </cell>
          <cell r="G237" t="str">
            <v>NO</v>
          </cell>
          <cell r="H237" t="str">
            <v>YES</v>
          </cell>
          <cell r="I237" t="str">
            <v>YES</v>
          </cell>
          <cell r="J237" t="str">
            <v>NO</v>
          </cell>
          <cell r="K237" t="str">
            <v>YES</v>
          </cell>
          <cell r="L237" t="str">
            <v>YES</v>
          </cell>
          <cell r="M237" t="str">
            <v>NO</v>
          </cell>
          <cell r="N237" t="str">
            <v>NO</v>
          </cell>
        </row>
        <row r="238">
          <cell r="A238">
            <v>2776</v>
          </cell>
          <cell r="B238">
            <v>570</v>
          </cell>
          <cell r="C238">
            <v>6</v>
          </cell>
          <cell r="D238" t="str">
            <v>YES</v>
          </cell>
          <cell r="E238" t="str">
            <v>NO</v>
          </cell>
          <cell r="F238" t="str">
            <v>YES</v>
          </cell>
          <cell r="G238" t="str">
            <v>NO</v>
          </cell>
          <cell r="H238" t="str">
            <v>YES</v>
          </cell>
          <cell r="I238" t="str">
            <v>YES</v>
          </cell>
          <cell r="J238" t="str">
            <v>NO</v>
          </cell>
          <cell r="K238" t="str">
            <v>YES</v>
          </cell>
          <cell r="L238" t="str">
            <v>YES</v>
          </cell>
          <cell r="M238" t="str">
            <v>NO</v>
          </cell>
          <cell r="N238" t="str">
            <v>NO</v>
          </cell>
        </row>
        <row r="239">
          <cell r="A239">
            <v>2777</v>
          </cell>
          <cell r="B239">
            <v>570</v>
          </cell>
          <cell r="C239">
            <v>6</v>
          </cell>
          <cell r="D239" t="str">
            <v>YES</v>
          </cell>
          <cell r="E239" t="str">
            <v>NO</v>
          </cell>
          <cell r="F239" t="str">
            <v>YES</v>
          </cell>
          <cell r="G239" t="str">
            <v>NO</v>
          </cell>
          <cell r="H239" t="str">
            <v>YES</v>
          </cell>
          <cell r="I239" t="str">
            <v>YES</v>
          </cell>
          <cell r="J239" t="str">
            <v>NO</v>
          </cell>
          <cell r="K239" t="str">
            <v>YES</v>
          </cell>
          <cell r="L239" t="str">
            <v>YES</v>
          </cell>
          <cell r="M239" t="str">
            <v>NO</v>
          </cell>
          <cell r="N239" t="str">
            <v>NO</v>
          </cell>
        </row>
        <row r="240">
          <cell r="A240">
            <v>2779</v>
          </cell>
          <cell r="B240">
            <v>570</v>
          </cell>
          <cell r="C240">
            <v>6</v>
          </cell>
          <cell r="D240" t="str">
            <v>YES</v>
          </cell>
          <cell r="E240" t="str">
            <v>NO</v>
          </cell>
          <cell r="F240" t="str">
            <v>YES</v>
          </cell>
          <cell r="G240" t="str">
            <v>NO</v>
          </cell>
          <cell r="H240" t="str">
            <v>YES</v>
          </cell>
          <cell r="I240" t="str">
            <v>YES</v>
          </cell>
          <cell r="J240" t="str">
            <v>NO</v>
          </cell>
          <cell r="K240" t="str">
            <v>YES</v>
          </cell>
          <cell r="L240" t="str">
            <v>YES</v>
          </cell>
          <cell r="M240" t="str">
            <v>NO</v>
          </cell>
          <cell r="N240" t="str">
            <v>NO</v>
          </cell>
        </row>
        <row r="241">
          <cell r="A241">
            <v>2780</v>
          </cell>
          <cell r="B241">
            <v>570</v>
          </cell>
          <cell r="C241">
            <v>6</v>
          </cell>
          <cell r="D241" t="str">
            <v>YES</v>
          </cell>
          <cell r="E241" t="str">
            <v>NO</v>
          </cell>
          <cell r="F241" t="str">
            <v>YES</v>
          </cell>
          <cell r="G241" t="str">
            <v>NO</v>
          </cell>
          <cell r="H241" t="str">
            <v>YES</v>
          </cell>
          <cell r="I241" t="str">
            <v>YES</v>
          </cell>
          <cell r="J241" t="str">
            <v>NO</v>
          </cell>
          <cell r="K241" t="str">
            <v>YES</v>
          </cell>
          <cell r="L241" t="str">
            <v>YES</v>
          </cell>
          <cell r="M241" t="str">
            <v>NO</v>
          </cell>
          <cell r="N241" t="str">
            <v>NO</v>
          </cell>
        </row>
        <row r="242">
          <cell r="A242">
            <v>2784</v>
          </cell>
          <cell r="B242">
            <v>570</v>
          </cell>
          <cell r="C242">
            <v>6</v>
          </cell>
          <cell r="D242" t="str">
            <v>YES</v>
          </cell>
          <cell r="E242" t="str">
            <v>NO</v>
          </cell>
          <cell r="F242" t="str">
            <v>YES</v>
          </cell>
          <cell r="G242" t="str">
            <v>NO</v>
          </cell>
          <cell r="H242" t="str">
            <v>YES</v>
          </cell>
          <cell r="I242" t="str">
            <v>YES</v>
          </cell>
          <cell r="J242" t="str">
            <v>NO</v>
          </cell>
          <cell r="K242" t="str">
            <v>YES</v>
          </cell>
          <cell r="L242" t="str">
            <v>YES</v>
          </cell>
          <cell r="M242" t="str">
            <v>NO</v>
          </cell>
          <cell r="N242" t="str">
            <v>NO</v>
          </cell>
        </row>
        <row r="243">
          <cell r="A243">
            <v>2785</v>
          </cell>
          <cell r="B243">
            <v>570</v>
          </cell>
          <cell r="C243">
            <v>6</v>
          </cell>
          <cell r="D243" t="str">
            <v>YES</v>
          </cell>
          <cell r="E243" t="str">
            <v>NO</v>
          </cell>
          <cell r="F243" t="str">
            <v>YES</v>
          </cell>
          <cell r="G243" t="str">
            <v>NO</v>
          </cell>
          <cell r="H243" t="str">
            <v>YES</v>
          </cell>
          <cell r="I243" t="str">
            <v>YES</v>
          </cell>
          <cell r="J243" t="str">
            <v>NO</v>
          </cell>
          <cell r="K243" t="str">
            <v>YES</v>
          </cell>
          <cell r="L243" t="str">
            <v>YES</v>
          </cell>
          <cell r="M243" t="str">
            <v>NO</v>
          </cell>
          <cell r="N243" t="str">
            <v>NO</v>
          </cell>
        </row>
        <row r="244">
          <cell r="A244">
            <v>2789</v>
          </cell>
          <cell r="B244">
            <v>570</v>
          </cell>
          <cell r="C244">
            <v>6</v>
          </cell>
          <cell r="D244" t="str">
            <v>YES</v>
          </cell>
          <cell r="E244" t="str">
            <v>NO</v>
          </cell>
          <cell r="F244" t="str">
            <v>YES</v>
          </cell>
          <cell r="G244" t="str">
            <v>NO</v>
          </cell>
          <cell r="H244" t="str">
            <v>YES</v>
          </cell>
          <cell r="I244" t="str">
            <v>YES</v>
          </cell>
          <cell r="J244" t="str">
            <v>NO</v>
          </cell>
          <cell r="K244" t="str">
            <v>YES</v>
          </cell>
          <cell r="L244" t="str">
            <v>YES</v>
          </cell>
          <cell r="M244" t="str">
            <v>NO</v>
          </cell>
          <cell r="N244" t="str">
            <v>NO</v>
          </cell>
        </row>
        <row r="245">
          <cell r="A245">
            <v>2790</v>
          </cell>
          <cell r="B245">
            <v>570</v>
          </cell>
          <cell r="C245">
            <v>6</v>
          </cell>
          <cell r="D245" t="str">
            <v>YES</v>
          </cell>
          <cell r="E245" t="str">
            <v>NO</v>
          </cell>
          <cell r="F245" t="str">
            <v>YES</v>
          </cell>
          <cell r="G245" t="str">
            <v>NO</v>
          </cell>
          <cell r="H245" t="str">
            <v>YES</v>
          </cell>
          <cell r="I245" t="str">
            <v>YES</v>
          </cell>
          <cell r="J245" t="str">
            <v>NO</v>
          </cell>
          <cell r="K245" t="str">
            <v>YES</v>
          </cell>
          <cell r="L245" t="str">
            <v>YES</v>
          </cell>
          <cell r="M245" t="str">
            <v>NO</v>
          </cell>
          <cell r="N245" t="str">
            <v>NO</v>
          </cell>
        </row>
        <row r="246">
          <cell r="A246">
            <v>2794</v>
          </cell>
          <cell r="B246">
            <v>570</v>
          </cell>
          <cell r="C246">
            <v>6</v>
          </cell>
          <cell r="D246" t="str">
            <v>YES</v>
          </cell>
          <cell r="E246" t="str">
            <v>NO</v>
          </cell>
          <cell r="F246" t="str">
            <v>YES</v>
          </cell>
          <cell r="G246" t="str">
            <v>NO</v>
          </cell>
          <cell r="H246" t="str">
            <v>YES</v>
          </cell>
          <cell r="I246" t="str">
            <v>YES</v>
          </cell>
          <cell r="J246" t="str">
            <v>NO</v>
          </cell>
          <cell r="K246" t="str">
            <v>YES</v>
          </cell>
          <cell r="L246" t="str">
            <v>YES</v>
          </cell>
          <cell r="M246" t="str">
            <v>NO</v>
          </cell>
          <cell r="N246" t="str">
            <v>NO</v>
          </cell>
        </row>
        <row r="247">
          <cell r="A247">
            <v>2795</v>
          </cell>
          <cell r="B247">
            <v>570</v>
          </cell>
          <cell r="C247">
            <v>6</v>
          </cell>
          <cell r="D247" t="str">
            <v>YES</v>
          </cell>
          <cell r="E247" t="str">
            <v>NO</v>
          </cell>
          <cell r="F247" t="str">
            <v>YES</v>
          </cell>
          <cell r="G247" t="str">
            <v>NO</v>
          </cell>
          <cell r="H247" t="str">
            <v>YES</v>
          </cell>
          <cell r="I247" t="str">
            <v>YES</v>
          </cell>
          <cell r="J247" t="str">
            <v>NO</v>
          </cell>
          <cell r="K247" t="str">
            <v>YES</v>
          </cell>
          <cell r="L247" t="str">
            <v>YES</v>
          </cell>
          <cell r="M247" t="str">
            <v>NO</v>
          </cell>
          <cell r="N247" t="str">
            <v>NO</v>
          </cell>
        </row>
        <row r="248">
          <cell r="A248">
            <v>2796</v>
          </cell>
          <cell r="B248">
            <v>570</v>
          </cell>
          <cell r="C248">
            <v>6</v>
          </cell>
          <cell r="D248" t="str">
            <v>YES</v>
          </cell>
          <cell r="E248" t="str">
            <v>NO</v>
          </cell>
          <cell r="F248" t="str">
            <v>YES</v>
          </cell>
          <cell r="G248" t="str">
            <v>NO</v>
          </cell>
          <cell r="H248" t="str">
            <v>YES</v>
          </cell>
          <cell r="I248" t="str">
            <v>YES</v>
          </cell>
          <cell r="J248" t="str">
            <v>NO</v>
          </cell>
          <cell r="K248" t="str">
            <v>YES</v>
          </cell>
          <cell r="L248" t="str">
            <v>YES</v>
          </cell>
          <cell r="M248" t="str">
            <v>NO</v>
          </cell>
          <cell r="N248" t="str">
            <v>NO</v>
          </cell>
        </row>
        <row r="249">
          <cell r="A249">
            <v>2799</v>
          </cell>
          <cell r="B249">
            <v>570</v>
          </cell>
          <cell r="C249">
            <v>6</v>
          </cell>
          <cell r="D249" t="str">
            <v>YES</v>
          </cell>
          <cell r="E249" t="str">
            <v>NO</v>
          </cell>
          <cell r="F249" t="str">
            <v>YES</v>
          </cell>
          <cell r="G249" t="str">
            <v>NO</v>
          </cell>
          <cell r="H249" t="str">
            <v>YES</v>
          </cell>
          <cell r="I249" t="str">
            <v>YES</v>
          </cell>
          <cell r="J249" t="str">
            <v>NO</v>
          </cell>
          <cell r="K249" t="str">
            <v>YES</v>
          </cell>
          <cell r="L249" t="str">
            <v>YES</v>
          </cell>
          <cell r="M249" t="str">
            <v>NO</v>
          </cell>
          <cell r="N249" t="str">
            <v>NO</v>
          </cell>
        </row>
        <row r="250">
          <cell r="A250">
            <v>2800</v>
          </cell>
          <cell r="B250">
            <v>570</v>
          </cell>
          <cell r="C250">
            <v>6</v>
          </cell>
          <cell r="D250" t="str">
            <v>YES</v>
          </cell>
          <cell r="E250" t="str">
            <v>NO</v>
          </cell>
          <cell r="F250" t="str">
            <v>YES</v>
          </cell>
          <cell r="G250" t="str">
            <v>NO</v>
          </cell>
          <cell r="H250" t="str">
            <v>YES</v>
          </cell>
          <cell r="I250" t="str">
            <v>YES</v>
          </cell>
          <cell r="J250" t="str">
            <v>NO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NO</v>
          </cell>
        </row>
        <row r="251">
          <cell r="A251">
            <v>2804</v>
          </cell>
          <cell r="B251">
            <v>570</v>
          </cell>
          <cell r="C251">
            <v>6</v>
          </cell>
          <cell r="D251" t="str">
            <v>YES</v>
          </cell>
          <cell r="E251" t="str">
            <v>NO</v>
          </cell>
          <cell r="F251" t="str">
            <v>YES</v>
          </cell>
          <cell r="G251" t="str">
            <v>NO</v>
          </cell>
          <cell r="H251" t="str">
            <v>YES</v>
          </cell>
          <cell r="I251" t="str">
            <v>YES</v>
          </cell>
          <cell r="J251" t="str">
            <v>NO</v>
          </cell>
          <cell r="K251" t="str">
            <v>YES</v>
          </cell>
          <cell r="L251" t="str">
            <v>YES</v>
          </cell>
          <cell r="M251" t="str">
            <v>NO</v>
          </cell>
          <cell r="N251" t="str">
            <v>NO</v>
          </cell>
        </row>
        <row r="252">
          <cell r="A252">
            <v>2805</v>
          </cell>
          <cell r="B252">
            <v>570</v>
          </cell>
          <cell r="C252">
            <v>6</v>
          </cell>
          <cell r="D252" t="str">
            <v>YES</v>
          </cell>
          <cell r="E252" t="str">
            <v>NO</v>
          </cell>
          <cell r="F252" t="str">
            <v>YES</v>
          </cell>
          <cell r="G252" t="str">
            <v>NO</v>
          </cell>
          <cell r="H252" t="str">
            <v>YES</v>
          </cell>
          <cell r="I252" t="str">
            <v>YES</v>
          </cell>
          <cell r="J252" t="str">
            <v>NO</v>
          </cell>
          <cell r="K252" t="str">
            <v>YES</v>
          </cell>
          <cell r="L252" t="str">
            <v>YES</v>
          </cell>
          <cell r="M252" t="str">
            <v>NO</v>
          </cell>
          <cell r="N252" t="str">
            <v>NO</v>
          </cell>
        </row>
        <row r="253">
          <cell r="A253">
            <v>2806</v>
          </cell>
          <cell r="B253">
            <v>570</v>
          </cell>
          <cell r="C253">
            <v>6</v>
          </cell>
          <cell r="D253" t="str">
            <v>YES</v>
          </cell>
          <cell r="E253" t="str">
            <v>NO</v>
          </cell>
          <cell r="F253" t="str">
            <v>YES</v>
          </cell>
          <cell r="G253" t="str">
            <v>NO</v>
          </cell>
          <cell r="H253" t="str">
            <v>YES</v>
          </cell>
          <cell r="I253" t="str">
            <v>YES</v>
          </cell>
          <cell r="J253" t="str">
            <v>NO</v>
          </cell>
          <cell r="K253" t="str">
            <v>YES</v>
          </cell>
          <cell r="L253" t="str">
            <v>YES</v>
          </cell>
          <cell r="M253" t="str">
            <v>NO</v>
          </cell>
          <cell r="N253" t="str">
            <v>NO</v>
          </cell>
        </row>
        <row r="254">
          <cell r="A254">
            <v>2809</v>
          </cell>
          <cell r="B254">
            <v>570</v>
          </cell>
          <cell r="C254">
            <v>6</v>
          </cell>
          <cell r="D254" t="str">
            <v>YES</v>
          </cell>
          <cell r="E254" t="str">
            <v>NO</v>
          </cell>
          <cell r="F254" t="str">
            <v>YES</v>
          </cell>
          <cell r="G254" t="str">
            <v>NO</v>
          </cell>
          <cell r="H254" t="str">
            <v>YES</v>
          </cell>
          <cell r="I254" t="str">
            <v>YES</v>
          </cell>
          <cell r="J254" t="str">
            <v>NO</v>
          </cell>
          <cell r="K254" t="str">
            <v>YES</v>
          </cell>
          <cell r="L254" t="str">
            <v>YES</v>
          </cell>
          <cell r="M254" t="str">
            <v>NO</v>
          </cell>
          <cell r="N254" t="str">
            <v>NO</v>
          </cell>
        </row>
        <row r="255">
          <cell r="A255">
            <v>2810</v>
          </cell>
          <cell r="B255">
            <v>570</v>
          </cell>
          <cell r="C255">
            <v>6</v>
          </cell>
          <cell r="D255" t="str">
            <v>YES</v>
          </cell>
          <cell r="E255" t="str">
            <v>NO</v>
          </cell>
          <cell r="F255" t="str">
            <v>YES</v>
          </cell>
          <cell r="G255" t="str">
            <v>NO</v>
          </cell>
          <cell r="H255" t="str">
            <v>YES</v>
          </cell>
          <cell r="I255" t="str">
            <v>YES</v>
          </cell>
          <cell r="J255" t="str">
            <v>NO</v>
          </cell>
          <cell r="K255" t="str">
            <v>YES</v>
          </cell>
          <cell r="L255" t="str">
            <v>YES</v>
          </cell>
          <cell r="M255" t="str">
            <v>NO</v>
          </cell>
          <cell r="N255" t="str">
            <v>NO</v>
          </cell>
        </row>
        <row r="256">
          <cell r="A256">
            <v>2814</v>
          </cell>
          <cell r="B256">
            <v>570</v>
          </cell>
          <cell r="C256">
            <v>6</v>
          </cell>
          <cell r="D256" t="str">
            <v>YES</v>
          </cell>
          <cell r="E256" t="str">
            <v>NO</v>
          </cell>
          <cell r="F256" t="str">
            <v>YES</v>
          </cell>
          <cell r="G256" t="str">
            <v>NO</v>
          </cell>
          <cell r="H256" t="str">
            <v>YES</v>
          </cell>
          <cell r="I256" t="str">
            <v>YES</v>
          </cell>
          <cell r="J256" t="str">
            <v>NO</v>
          </cell>
          <cell r="K256" t="str">
            <v>YES</v>
          </cell>
          <cell r="L256" t="str">
            <v>YES</v>
          </cell>
          <cell r="M256" t="str">
            <v>NO</v>
          </cell>
          <cell r="N256" t="str">
            <v>NO</v>
          </cell>
        </row>
        <row r="257">
          <cell r="A257">
            <v>2815</v>
          </cell>
          <cell r="B257">
            <v>570</v>
          </cell>
          <cell r="C257">
            <v>6</v>
          </cell>
          <cell r="D257" t="str">
            <v>YES</v>
          </cell>
          <cell r="E257" t="str">
            <v>NO</v>
          </cell>
          <cell r="F257" t="str">
            <v>YES</v>
          </cell>
          <cell r="G257" t="str">
            <v>NO</v>
          </cell>
          <cell r="H257" t="str">
            <v>YES</v>
          </cell>
          <cell r="I257" t="str">
            <v>YES</v>
          </cell>
          <cell r="J257" t="str">
            <v>NO</v>
          </cell>
          <cell r="K257" t="str">
            <v>YES</v>
          </cell>
          <cell r="L257" t="str">
            <v>YES</v>
          </cell>
          <cell r="M257" t="str">
            <v>NO</v>
          </cell>
          <cell r="N257" t="str">
            <v>NO</v>
          </cell>
        </row>
        <row r="258">
          <cell r="A258">
            <v>2819</v>
          </cell>
          <cell r="B258">
            <v>570</v>
          </cell>
          <cell r="C258">
            <v>6</v>
          </cell>
          <cell r="D258" t="str">
            <v>YES</v>
          </cell>
          <cell r="E258" t="str">
            <v>NO</v>
          </cell>
          <cell r="F258" t="str">
            <v>YES</v>
          </cell>
          <cell r="G258" t="str">
            <v>NO</v>
          </cell>
          <cell r="H258" t="str">
            <v>YES</v>
          </cell>
          <cell r="I258" t="str">
            <v>YES</v>
          </cell>
          <cell r="J258" t="str">
            <v>NO</v>
          </cell>
          <cell r="K258" t="str">
            <v>YES</v>
          </cell>
          <cell r="L258" t="str">
            <v>YES</v>
          </cell>
          <cell r="M258" t="str">
            <v>NO</v>
          </cell>
          <cell r="N258" t="str">
            <v>NO</v>
          </cell>
        </row>
        <row r="259">
          <cell r="A259">
            <v>2820</v>
          </cell>
          <cell r="B259">
            <v>570</v>
          </cell>
          <cell r="C259">
            <v>6</v>
          </cell>
          <cell r="D259" t="str">
            <v>YES</v>
          </cell>
          <cell r="E259" t="str">
            <v>NO</v>
          </cell>
          <cell r="F259" t="str">
            <v>YES</v>
          </cell>
          <cell r="G259" t="str">
            <v>NO</v>
          </cell>
          <cell r="H259" t="str">
            <v>YES</v>
          </cell>
          <cell r="I259" t="str">
            <v>YES</v>
          </cell>
          <cell r="J259" t="str">
            <v>NO</v>
          </cell>
          <cell r="K259" t="str">
            <v>YES</v>
          </cell>
          <cell r="L259" t="str">
            <v>YES</v>
          </cell>
          <cell r="M259" t="str">
            <v>NO</v>
          </cell>
          <cell r="N259" t="str">
            <v>NO</v>
          </cell>
        </row>
        <row r="260">
          <cell r="A260">
            <v>2821</v>
          </cell>
          <cell r="B260">
            <v>570</v>
          </cell>
          <cell r="C260">
            <v>6</v>
          </cell>
          <cell r="D260" t="str">
            <v>YES</v>
          </cell>
          <cell r="E260" t="str">
            <v>NO</v>
          </cell>
          <cell r="F260" t="str">
            <v>YES</v>
          </cell>
          <cell r="G260" t="str">
            <v>NO</v>
          </cell>
          <cell r="H260" t="str">
            <v>YES</v>
          </cell>
          <cell r="I260" t="str">
            <v>YES</v>
          </cell>
          <cell r="J260" t="str">
            <v>NO</v>
          </cell>
          <cell r="K260" t="str">
            <v>YES</v>
          </cell>
          <cell r="L260" t="str">
            <v>YES</v>
          </cell>
          <cell r="M260" t="str">
            <v>NO</v>
          </cell>
          <cell r="N260" t="str">
            <v>NO</v>
          </cell>
        </row>
        <row r="261">
          <cell r="A261">
            <v>2825</v>
          </cell>
          <cell r="B261">
            <v>570</v>
          </cell>
          <cell r="C261">
            <v>6</v>
          </cell>
          <cell r="D261" t="str">
            <v>YES</v>
          </cell>
          <cell r="E261" t="str">
            <v>NO</v>
          </cell>
          <cell r="F261" t="str">
            <v>YES</v>
          </cell>
          <cell r="G261" t="str">
            <v>NO</v>
          </cell>
          <cell r="H261" t="str">
            <v>YES</v>
          </cell>
          <cell r="I261" t="str">
            <v>YES</v>
          </cell>
          <cell r="J261" t="str">
            <v>NO</v>
          </cell>
          <cell r="K261" t="str">
            <v>YES</v>
          </cell>
          <cell r="L261" t="str">
            <v>YES</v>
          </cell>
          <cell r="M261" t="str">
            <v>NO</v>
          </cell>
          <cell r="N261" t="str">
            <v>NO</v>
          </cell>
        </row>
        <row r="262">
          <cell r="A262">
            <v>2829</v>
          </cell>
          <cell r="B262">
            <v>570</v>
          </cell>
          <cell r="C262">
            <v>6</v>
          </cell>
          <cell r="D262" t="str">
            <v>YES</v>
          </cell>
          <cell r="E262" t="str">
            <v>NO</v>
          </cell>
          <cell r="F262" t="str">
            <v>YES</v>
          </cell>
          <cell r="G262" t="str">
            <v>NO</v>
          </cell>
          <cell r="H262" t="str">
            <v>YES</v>
          </cell>
          <cell r="I262" t="str">
            <v>YES</v>
          </cell>
          <cell r="J262" t="str">
            <v>NO</v>
          </cell>
          <cell r="K262" t="str">
            <v>YES</v>
          </cell>
          <cell r="L262" t="str">
            <v>YES</v>
          </cell>
          <cell r="M262" t="str">
            <v>NO</v>
          </cell>
          <cell r="N262" t="str">
            <v>NO</v>
          </cell>
        </row>
        <row r="263">
          <cell r="A263">
            <v>2830</v>
          </cell>
          <cell r="B263">
            <v>570</v>
          </cell>
          <cell r="C263">
            <v>6</v>
          </cell>
          <cell r="D263" t="str">
            <v>YES</v>
          </cell>
          <cell r="E263" t="str">
            <v>NO</v>
          </cell>
          <cell r="F263" t="str">
            <v>YES</v>
          </cell>
          <cell r="G263" t="str">
            <v>NO</v>
          </cell>
          <cell r="H263" t="str">
            <v>YES</v>
          </cell>
          <cell r="I263" t="str">
            <v>YES</v>
          </cell>
          <cell r="J263" t="str">
            <v>NO</v>
          </cell>
          <cell r="K263" t="str">
            <v>YES</v>
          </cell>
          <cell r="L263" t="str">
            <v>YES</v>
          </cell>
          <cell r="M263" t="str">
            <v>NO</v>
          </cell>
          <cell r="N263" t="str">
            <v>NO</v>
          </cell>
        </row>
        <row r="264">
          <cell r="A264">
            <v>2831</v>
          </cell>
          <cell r="B264">
            <v>570</v>
          </cell>
          <cell r="C264">
            <v>6</v>
          </cell>
          <cell r="D264" t="str">
            <v>YES</v>
          </cell>
          <cell r="E264" t="str">
            <v>NO</v>
          </cell>
          <cell r="F264" t="str">
            <v>YES</v>
          </cell>
          <cell r="G264" t="str">
            <v>NO</v>
          </cell>
          <cell r="H264" t="str">
            <v>YES</v>
          </cell>
          <cell r="I264" t="str">
            <v>YES</v>
          </cell>
          <cell r="J264" t="str">
            <v>NO</v>
          </cell>
          <cell r="K264" t="str">
            <v>YES</v>
          </cell>
          <cell r="L264" t="str">
            <v>YES</v>
          </cell>
          <cell r="M264" t="str">
            <v>NO</v>
          </cell>
          <cell r="N264" t="str">
            <v>NO</v>
          </cell>
        </row>
        <row r="265">
          <cell r="A265">
            <v>2834</v>
          </cell>
          <cell r="B265">
            <v>570</v>
          </cell>
          <cell r="C265">
            <v>6</v>
          </cell>
          <cell r="D265" t="str">
            <v>YES</v>
          </cell>
          <cell r="E265" t="str">
            <v>NO</v>
          </cell>
          <cell r="F265" t="str">
            <v>YES</v>
          </cell>
          <cell r="G265" t="str">
            <v>NO</v>
          </cell>
          <cell r="H265" t="str">
            <v>YES</v>
          </cell>
          <cell r="I265" t="str">
            <v>YES</v>
          </cell>
          <cell r="J265" t="str">
            <v>NO</v>
          </cell>
          <cell r="K265" t="str">
            <v>YES</v>
          </cell>
          <cell r="L265" t="str">
            <v>YES</v>
          </cell>
          <cell r="M265" t="str">
            <v>NO</v>
          </cell>
          <cell r="N265" t="str">
            <v>NO</v>
          </cell>
        </row>
        <row r="266">
          <cell r="A266">
            <v>2835</v>
          </cell>
          <cell r="B266">
            <v>570</v>
          </cell>
          <cell r="C266">
            <v>6</v>
          </cell>
          <cell r="D266" t="str">
            <v>YES</v>
          </cell>
          <cell r="E266" t="str">
            <v>NO</v>
          </cell>
          <cell r="F266" t="str">
            <v>YES</v>
          </cell>
          <cell r="G266" t="str">
            <v>NO</v>
          </cell>
          <cell r="H266" t="str">
            <v>YES</v>
          </cell>
          <cell r="I266" t="str">
            <v>YES</v>
          </cell>
          <cell r="J266" t="str">
            <v>NO</v>
          </cell>
          <cell r="K266" t="str">
            <v>YES</v>
          </cell>
          <cell r="L266" t="str">
            <v>YES</v>
          </cell>
          <cell r="M266" t="str">
            <v>NO</v>
          </cell>
          <cell r="N266" t="str">
            <v>NO</v>
          </cell>
        </row>
        <row r="267">
          <cell r="A267">
            <v>2839</v>
          </cell>
          <cell r="B267">
            <v>570</v>
          </cell>
          <cell r="C267">
            <v>6</v>
          </cell>
          <cell r="D267" t="str">
            <v>YES</v>
          </cell>
          <cell r="E267" t="str">
            <v>NO</v>
          </cell>
          <cell r="F267" t="str">
            <v>YES</v>
          </cell>
          <cell r="G267" t="str">
            <v>NO</v>
          </cell>
          <cell r="H267" t="str">
            <v>YES</v>
          </cell>
          <cell r="I267" t="str">
            <v>YES</v>
          </cell>
          <cell r="J267" t="str">
            <v>NO</v>
          </cell>
          <cell r="K267" t="str">
            <v>YES</v>
          </cell>
          <cell r="L267" t="str">
            <v>YES</v>
          </cell>
          <cell r="M267" t="str">
            <v>NO</v>
          </cell>
          <cell r="N267" t="str">
            <v>NO</v>
          </cell>
        </row>
        <row r="268">
          <cell r="A268">
            <v>2840</v>
          </cell>
          <cell r="B268">
            <v>570</v>
          </cell>
          <cell r="C268">
            <v>6</v>
          </cell>
          <cell r="D268" t="str">
            <v>YES</v>
          </cell>
          <cell r="E268" t="str">
            <v>NO</v>
          </cell>
          <cell r="F268" t="str">
            <v>YES</v>
          </cell>
          <cell r="G268" t="str">
            <v>NO</v>
          </cell>
          <cell r="H268" t="str">
            <v>YES</v>
          </cell>
          <cell r="I268" t="str">
            <v>YES</v>
          </cell>
          <cell r="J268" t="str">
            <v>NO</v>
          </cell>
          <cell r="K268" t="str">
            <v>YES</v>
          </cell>
          <cell r="L268" t="str">
            <v>YES</v>
          </cell>
          <cell r="M268" t="str">
            <v>NO</v>
          </cell>
          <cell r="N268" t="str">
            <v>NO</v>
          </cell>
        </row>
        <row r="269">
          <cell r="A269">
            <v>2844</v>
          </cell>
          <cell r="B269">
            <v>570</v>
          </cell>
          <cell r="C269">
            <v>6</v>
          </cell>
          <cell r="D269" t="str">
            <v>YES</v>
          </cell>
          <cell r="E269" t="str">
            <v>NO</v>
          </cell>
          <cell r="F269" t="str">
            <v>YES</v>
          </cell>
          <cell r="G269" t="str">
            <v>NO</v>
          </cell>
          <cell r="H269" t="str">
            <v>YES</v>
          </cell>
          <cell r="I269" t="str">
            <v>YES</v>
          </cell>
          <cell r="J269" t="str">
            <v>NO</v>
          </cell>
          <cell r="K269" t="str">
            <v>YES</v>
          </cell>
          <cell r="L269" t="str">
            <v>YES</v>
          </cell>
          <cell r="M269" t="str">
            <v>NO</v>
          </cell>
          <cell r="N269" t="str">
            <v>NO</v>
          </cell>
        </row>
        <row r="270">
          <cell r="A270">
            <v>2845</v>
          </cell>
          <cell r="B270">
            <v>570</v>
          </cell>
          <cell r="C270">
            <v>6</v>
          </cell>
          <cell r="D270" t="str">
            <v>YES</v>
          </cell>
          <cell r="E270" t="str">
            <v>NO</v>
          </cell>
          <cell r="F270" t="str">
            <v>YES</v>
          </cell>
          <cell r="G270" t="str">
            <v>NO</v>
          </cell>
          <cell r="H270" t="str">
            <v>YES</v>
          </cell>
          <cell r="I270" t="str">
            <v>YES</v>
          </cell>
          <cell r="J270" t="str">
            <v>NO</v>
          </cell>
          <cell r="K270" t="str">
            <v>YES</v>
          </cell>
          <cell r="L270" t="str">
            <v>YES</v>
          </cell>
          <cell r="M270" t="str">
            <v>NO</v>
          </cell>
          <cell r="N270" t="str">
            <v>NO</v>
          </cell>
        </row>
        <row r="271">
          <cell r="A271">
            <v>2850</v>
          </cell>
          <cell r="B271">
            <v>570</v>
          </cell>
          <cell r="C271">
            <v>6</v>
          </cell>
          <cell r="D271" t="str">
            <v>YES</v>
          </cell>
          <cell r="E271" t="str">
            <v>NO</v>
          </cell>
          <cell r="F271" t="str">
            <v>YES</v>
          </cell>
          <cell r="G271" t="str">
            <v>NO</v>
          </cell>
          <cell r="H271" t="str">
            <v>YES</v>
          </cell>
          <cell r="I271" t="str">
            <v>YES</v>
          </cell>
          <cell r="J271" t="str">
            <v>NO</v>
          </cell>
          <cell r="K271" t="str">
            <v>YES</v>
          </cell>
          <cell r="L271" t="str">
            <v>YES</v>
          </cell>
          <cell r="M271" t="str">
            <v>NO</v>
          </cell>
          <cell r="N271" t="str">
            <v>NO</v>
          </cell>
        </row>
        <row r="272">
          <cell r="A272">
            <v>2855</v>
          </cell>
          <cell r="B272">
            <v>570</v>
          </cell>
          <cell r="C272">
            <v>6</v>
          </cell>
          <cell r="D272" t="str">
            <v>YES</v>
          </cell>
          <cell r="E272" t="str">
            <v>NO</v>
          </cell>
          <cell r="F272" t="str">
            <v>YES</v>
          </cell>
          <cell r="G272" t="str">
            <v>NO</v>
          </cell>
          <cell r="H272" t="str">
            <v>YES</v>
          </cell>
          <cell r="I272" t="str">
            <v>YES</v>
          </cell>
          <cell r="J272" t="str">
            <v>NO</v>
          </cell>
          <cell r="K272" t="str">
            <v>YES</v>
          </cell>
          <cell r="L272" t="str">
            <v>YES</v>
          </cell>
          <cell r="M272" t="str">
            <v>NO</v>
          </cell>
          <cell r="N272" t="str">
            <v>NO</v>
          </cell>
        </row>
        <row r="273">
          <cell r="A273">
            <v>2860</v>
          </cell>
          <cell r="B273">
            <v>570</v>
          </cell>
          <cell r="C273">
            <v>6</v>
          </cell>
          <cell r="D273" t="str">
            <v>YES</v>
          </cell>
          <cell r="E273" t="str">
            <v>NO</v>
          </cell>
          <cell r="F273" t="str">
            <v>YES</v>
          </cell>
          <cell r="G273" t="str">
            <v>NO</v>
          </cell>
          <cell r="H273" t="str">
            <v>YES</v>
          </cell>
          <cell r="I273" t="str">
            <v>YES</v>
          </cell>
          <cell r="J273" t="str">
            <v>NO</v>
          </cell>
          <cell r="K273" t="str">
            <v>YES</v>
          </cell>
          <cell r="L273" t="str">
            <v>YES</v>
          </cell>
          <cell r="M273" t="str">
            <v>NO</v>
          </cell>
          <cell r="N273" t="str">
            <v>NO</v>
          </cell>
        </row>
        <row r="274">
          <cell r="A274">
            <v>2861</v>
          </cell>
          <cell r="B274">
            <v>570</v>
          </cell>
          <cell r="C274">
            <v>6</v>
          </cell>
          <cell r="D274" t="str">
            <v>YES</v>
          </cell>
          <cell r="E274" t="str">
            <v>NO</v>
          </cell>
          <cell r="F274" t="str">
            <v>YES</v>
          </cell>
          <cell r="G274" t="str">
            <v>NO</v>
          </cell>
          <cell r="H274" t="str">
            <v>YES</v>
          </cell>
          <cell r="I274" t="str">
            <v>YES</v>
          </cell>
          <cell r="J274" t="str">
            <v>NO</v>
          </cell>
          <cell r="K274" t="str">
            <v>YES</v>
          </cell>
          <cell r="L274" t="str">
            <v>YES</v>
          </cell>
          <cell r="M274" t="str">
            <v>NO</v>
          </cell>
          <cell r="N274" t="str">
            <v>NO</v>
          </cell>
        </row>
        <row r="275">
          <cell r="A275">
            <v>2864</v>
          </cell>
          <cell r="B275">
            <v>570</v>
          </cell>
          <cell r="C275">
            <v>6</v>
          </cell>
          <cell r="D275" t="str">
            <v>YES</v>
          </cell>
          <cell r="E275" t="str">
            <v>NO</v>
          </cell>
          <cell r="F275" t="str">
            <v>YES</v>
          </cell>
          <cell r="G275" t="str">
            <v>NO</v>
          </cell>
          <cell r="H275" t="str">
            <v>YES</v>
          </cell>
          <cell r="I275" t="str">
            <v>YES</v>
          </cell>
          <cell r="J275" t="str">
            <v>NO</v>
          </cell>
          <cell r="K275" t="str">
            <v>YES</v>
          </cell>
          <cell r="L275" t="str">
            <v>YES</v>
          </cell>
          <cell r="M275" t="str">
            <v>NO</v>
          </cell>
          <cell r="N275" t="str">
            <v>NO</v>
          </cell>
        </row>
        <row r="276">
          <cell r="A276">
            <v>2865</v>
          </cell>
          <cell r="B276">
            <v>570</v>
          </cell>
          <cell r="C276">
            <v>6</v>
          </cell>
          <cell r="D276" t="str">
            <v>YES</v>
          </cell>
          <cell r="E276" t="str">
            <v>NO</v>
          </cell>
          <cell r="F276" t="str">
            <v>YES</v>
          </cell>
          <cell r="G276" t="str">
            <v>NO</v>
          </cell>
          <cell r="H276" t="str">
            <v>YES</v>
          </cell>
          <cell r="I276" t="str">
            <v>YES</v>
          </cell>
          <cell r="J276" t="str">
            <v>NO</v>
          </cell>
          <cell r="K276" t="str">
            <v>YES</v>
          </cell>
          <cell r="L276" t="str">
            <v>YES</v>
          </cell>
          <cell r="M276" t="str">
            <v>NO</v>
          </cell>
          <cell r="N276" t="str">
            <v>NO</v>
          </cell>
        </row>
        <row r="277">
          <cell r="A277">
            <v>2870</v>
          </cell>
          <cell r="B277">
            <v>570</v>
          </cell>
          <cell r="C277">
            <v>6</v>
          </cell>
          <cell r="D277" t="str">
            <v>YES</v>
          </cell>
          <cell r="E277" t="str">
            <v>NO</v>
          </cell>
          <cell r="F277" t="str">
            <v>YES</v>
          </cell>
          <cell r="G277" t="str">
            <v>NO</v>
          </cell>
          <cell r="H277" t="str">
            <v>YES</v>
          </cell>
          <cell r="I277" t="str">
            <v>YES</v>
          </cell>
          <cell r="J277" t="str">
            <v>NO</v>
          </cell>
          <cell r="K277" t="str">
            <v>YES</v>
          </cell>
          <cell r="L277" t="str">
            <v>YES</v>
          </cell>
          <cell r="M277" t="str">
            <v>NO</v>
          </cell>
          <cell r="N277" t="str">
            <v>NO</v>
          </cell>
        </row>
        <row r="278">
          <cell r="A278">
            <v>2890</v>
          </cell>
          <cell r="B278">
            <v>570</v>
          </cell>
          <cell r="C278">
            <v>6</v>
          </cell>
          <cell r="D278" t="str">
            <v>YES</v>
          </cell>
          <cell r="E278" t="str">
            <v>NO</v>
          </cell>
          <cell r="F278" t="str">
            <v>YES</v>
          </cell>
          <cell r="G278" t="str">
            <v>NO</v>
          </cell>
          <cell r="H278" t="str">
            <v>YES</v>
          </cell>
          <cell r="I278" t="str">
            <v>YES</v>
          </cell>
          <cell r="J278" t="str">
            <v>NO</v>
          </cell>
          <cell r="K278" t="str">
            <v>YES</v>
          </cell>
          <cell r="L278" t="str">
            <v>YES</v>
          </cell>
          <cell r="M278" t="str">
            <v>NO</v>
          </cell>
          <cell r="N278" t="str">
            <v>NO</v>
          </cell>
        </row>
        <row r="279">
          <cell r="A279">
            <v>2894</v>
          </cell>
          <cell r="B279">
            <v>570</v>
          </cell>
          <cell r="C279">
            <v>6</v>
          </cell>
          <cell r="D279" t="str">
            <v>YES</v>
          </cell>
          <cell r="E279" t="str">
            <v>NO</v>
          </cell>
          <cell r="F279" t="str">
            <v>YES</v>
          </cell>
          <cell r="G279" t="str">
            <v>NO</v>
          </cell>
          <cell r="H279" t="str">
            <v>YES</v>
          </cell>
          <cell r="I279" t="str">
            <v>YES</v>
          </cell>
          <cell r="J279" t="str">
            <v>NO</v>
          </cell>
          <cell r="K279" t="str">
            <v>YES</v>
          </cell>
          <cell r="L279" t="str">
            <v>YES</v>
          </cell>
          <cell r="M279" t="str">
            <v>NO</v>
          </cell>
          <cell r="N279" t="str">
            <v>NO</v>
          </cell>
        </row>
        <row r="280">
          <cell r="A280">
            <v>2900</v>
          </cell>
          <cell r="B280">
            <v>570</v>
          </cell>
          <cell r="C280">
            <v>6</v>
          </cell>
          <cell r="D280" t="str">
            <v>YES</v>
          </cell>
          <cell r="E280" t="str">
            <v>NO</v>
          </cell>
          <cell r="F280" t="str">
            <v>YES</v>
          </cell>
          <cell r="G280" t="str">
            <v>NO</v>
          </cell>
          <cell r="H280" t="str">
            <v>YES</v>
          </cell>
          <cell r="I280" t="str">
            <v>YES</v>
          </cell>
          <cell r="J280" t="str">
            <v>NO</v>
          </cell>
          <cell r="K280" t="str">
            <v>YES</v>
          </cell>
          <cell r="L280" t="str">
            <v>YES</v>
          </cell>
          <cell r="M280" t="str">
            <v>NO</v>
          </cell>
          <cell r="N280" t="str">
            <v>NO</v>
          </cell>
        </row>
        <row r="281">
          <cell r="A281">
            <v>2901</v>
          </cell>
          <cell r="B281">
            <v>570</v>
          </cell>
          <cell r="C281">
            <v>6</v>
          </cell>
          <cell r="D281" t="str">
            <v>YES</v>
          </cell>
          <cell r="E281" t="str">
            <v>NO</v>
          </cell>
          <cell r="F281" t="str">
            <v>YES</v>
          </cell>
          <cell r="G281" t="str">
            <v>NO</v>
          </cell>
          <cell r="H281" t="str">
            <v>YES</v>
          </cell>
          <cell r="I281" t="str">
            <v>YES</v>
          </cell>
          <cell r="J281" t="str">
            <v>NO</v>
          </cell>
          <cell r="K281" t="str">
            <v>YES</v>
          </cell>
          <cell r="L281" t="str">
            <v>YES</v>
          </cell>
          <cell r="M281" t="str">
            <v>NO</v>
          </cell>
          <cell r="N281" t="str">
            <v>NO</v>
          </cell>
        </row>
        <row r="282">
          <cell r="A282">
            <v>2904</v>
          </cell>
          <cell r="B282">
            <v>570</v>
          </cell>
          <cell r="C282">
            <v>6</v>
          </cell>
          <cell r="D282" t="str">
            <v>YES</v>
          </cell>
          <cell r="E282" t="str">
            <v>NO</v>
          </cell>
          <cell r="F282" t="str">
            <v>YES</v>
          </cell>
          <cell r="G282" t="str">
            <v>NO</v>
          </cell>
          <cell r="H282" t="str">
            <v>YES</v>
          </cell>
          <cell r="I282" t="str">
            <v>YES</v>
          </cell>
          <cell r="J282" t="str">
            <v>NO</v>
          </cell>
          <cell r="K282" t="str">
            <v>YES</v>
          </cell>
          <cell r="L282" t="str">
            <v>YES</v>
          </cell>
          <cell r="M282" t="str">
            <v>NO</v>
          </cell>
          <cell r="N282" t="str">
            <v>NO</v>
          </cell>
        </row>
        <row r="283">
          <cell r="A283">
            <v>2910</v>
          </cell>
          <cell r="B283">
            <v>570</v>
          </cell>
          <cell r="C283">
            <v>6</v>
          </cell>
          <cell r="D283" t="str">
            <v>YES</v>
          </cell>
          <cell r="E283" t="str">
            <v>NO</v>
          </cell>
          <cell r="F283" t="str">
            <v>YES</v>
          </cell>
          <cell r="G283" t="str">
            <v>NO</v>
          </cell>
          <cell r="H283" t="str">
            <v>YES</v>
          </cell>
          <cell r="I283" t="str">
            <v>YES</v>
          </cell>
          <cell r="J283" t="str">
            <v>NO</v>
          </cell>
          <cell r="K283" t="str">
            <v>YES</v>
          </cell>
          <cell r="L283" t="str">
            <v>YES</v>
          </cell>
          <cell r="M283" t="str">
            <v>NO</v>
          </cell>
          <cell r="N283" t="str">
            <v>NO</v>
          </cell>
        </row>
        <row r="284">
          <cell r="A284">
            <v>2914</v>
          </cell>
          <cell r="B284">
            <v>570</v>
          </cell>
          <cell r="C284">
            <v>6</v>
          </cell>
          <cell r="D284" t="str">
            <v>YES</v>
          </cell>
          <cell r="E284" t="str">
            <v>NO</v>
          </cell>
          <cell r="F284" t="str">
            <v>YES</v>
          </cell>
          <cell r="G284" t="str">
            <v>NO</v>
          </cell>
          <cell r="H284" t="str">
            <v>YES</v>
          </cell>
          <cell r="I284" t="str">
            <v>YES</v>
          </cell>
          <cell r="J284" t="str">
            <v>NO</v>
          </cell>
          <cell r="K284" t="str">
            <v>YES</v>
          </cell>
          <cell r="L284" t="str">
            <v>YES</v>
          </cell>
          <cell r="M284" t="str">
            <v>NO</v>
          </cell>
          <cell r="N284" t="str">
            <v>NO</v>
          </cell>
        </row>
        <row r="285">
          <cell r="A285">
            <v>2925</v>
          </cell>
          <cell r="B285">
            <v>570</v>
          </cell>
          <cell r="C285">
            <v>6</v>
          </cell>
          <cell r="D285" t="str">
            <v>YES</v>
          </cell>
          <cell r="E285" t="str">
            <v>NO</v>
          </cell>
          <cell r="F285" t="str">
            <v>YES</v>
          </cell>
          <cell r="G285" t="str">
            <v>NO</v>
          </cell>
          <cell r="H285" t="str">
            <v>YES</v>
          </cell>
          <cell r="I285" t="str">
            <v>YES</v>
          </cell>
          <cell r="J285" t="str">
            <v>NO</v>
          </cell>
          <cell r="K285" t="str">
            <v>YES</v>
          </cell>
          <cell r="L285" t="str">
            <v>YES</v>
          </cell>
          <cell r="M285" t="str">
            <v>NO</v>
          </cell>
          <cell r="N285" t="str">
            <v>NO</v>
          </cell>
        </row>
        <row r="286">
          <cell r="A286">
            <v>2929</v>
          </cell>
          <cell r="B286">
            <v>570</v>
          </cell>
          <cell r="C286">
            <v>6</v>
          </cell>
          <cell r="D286" t="str">
            <v>YES</v>
          </cell>
          <cell r="E286" t="str">
            <v>NO</v>
          </cell>
          <cell r="F286" t="str">
            <v>YES</v>
          </cell>
          <cell r="G286" t="str">
            <v>NO</v>
          </cell>
          <cell r="H286" t="str">
            <v>YES</v>
          </cell>
          <cell r="I286" t="str">
            <v>YES</v>
          </cell>
          <cell r="J286" t="str">
            <v>NO</v>
          </cell>
          <cell r="K286" t="str">
            <v>YES</v>
          </cell>
          <cell r="L286" t="str">
            <v>YES</v>
          </cell>
          <cell r="M286" t="str">
            <v>NO</v>
          </cell>
          <cell r="N286" t="str">
            <v>NO</v>
          </cell>
        </row>
        <row r="287">
          <cell r="A287">
            <v>2950</v>
          </cell>
          <cell r="B287">
            <v>570</v>
          </cell>
          <cell r="C287">
            <v>6</v>
          </cell>
          <cell r="D287" t="str">
            <v>YES</v>
          </cell>
          <cell r="E287" t="str">
            <v>NO</v>
          </cell>
          <cell r="F287" t="str">
            <v>YES</v>
          </cell>
          <cell r="G287" t="str">
            <v>NO</v>
          </cell>
          <cell r="H287" t="str">
            <v>YES</v>
          </cell>
          <cell r="I287" t="str">
            <v>YES</v>
          </cell>
          <cell r="J287" t="str">
            <v>NO</v>
          </cell>
          <cell r="K287" t="str">
            <v>YES</v>
          </cell>
          <cell r="L287" t="str">
            <v>YES</v>
          </cell>
          <cell r="M287" t="str">
            <v>NO</v>
          </cell>
          <cell r="N287" t="str">
            <v>NO</v>
          </cell>
        </row>
        <row r="288">
          <cell r="A288">
            <v>2951</v>
          </cell>
          <cell r="B288">
            <v>570</v>
          </cell>
          <cell r="C288">
            <v>6</v>
          </cell>
          <cell r="D288" t="str">
            <v>YES</v>
          </cell>
          <cell r="E288" t="str">
            <v>NO</v>
          </cell>
          <cell r="F288" t="str">
            <v>YES</v>
          </cell>
          <cell r="G288" t="str">
            <v>NO</v>
          </cell>
          <cell r="H288" t="str">
            <v>YES</v>
          </cell>
          <cell r="I288" t="str">
            <v>YES</v>
          </cell>
          <cell r="J288" t="str">
            <v>NO</v>
          </cell>
          <cell r="K288" t="str">
            <v>YES</v>
          </cell>
          <cell r="L288" t="str">
            <v>YES</v>
          </cell>
          <cell r="M288" t="str">
            <v>NO</v>
          </cell>
          <cell r="N288" t="str">
            <v>NO</v>
          </cell>
        </row>
        <row r="289">
          <cell r="A289">
            <v>2954</v>
          </cell>
          <cell r="B289">
            <v>570</v>
          </cell>
          <cell r="C289">
            <v>6</v>
          </cell>
          <cell r="D289" t="str">
            <v>YES</v>
          </cell>
          <cell r="E289" t="str">
            <v>NO</v>
          </cell>
          <cell r="F289" t="str">
            <v>YES</v>
          </cell>
          <cell r="G289" t="str">
            <v>NO</v>
          </cell>
          <cell r="H289" t="str">
            <v>YES</v>
          </cell>
          <cell r="I289" t="str">
            <v>YES</v>
          </cell>
          <cell r="J289" t="str">
            <v>NO</v>
          </cell>
          <cell r="K289" t="str">
            <v>YES</v>
          </cell>
          <cell r="L289" t="str">
            <v>YES</v>
          </cell>
          <cell r="M289" t="str">
            <v>NO</v>
          </cell>
          <cell r="N289" t="str">
            <v>NO</v>
          </cell>
        </row>
        <row r="290">
          <cell r="A290">
            <v>2955</v>
          </cell>
          <cell r="B290">
            <v>570</v>
          </cell>
          <cell r="C290">
            <v>6</v>
          </cell>
          <cell r="D290" t="str">
            <v>YES</v>
          </cell>
          <cell r="E290" t="str">
            <v>NO</v>
          </cell>
          <cell r="F290" t="str">
            <v>YES</v>
          </cell>
          <cell r="G290" t="str">
            <v>NO</v>
          </cell>
          <cell r="H290" t="str">
            <v>YES</v>
          </cell>
          <cell r="I290" t="str">
            <v>YES</v>
          </cell>
          <cell r="J290" t="str">
            <v>NO</v>
          </cell>
          <cell r="K290" t="str">
            <v>YES</v>
          </cell>
          <cell r="L290" t="str">
            <v>YES</v>
          </cell>
          <cell r="M290" t="str">
            <v>NO</v>
          </cell>
          <cell r="N290" t="str">
            <v>NO</v>
          </cell>
        </row>
        <row r="291">
          <cell r="A291">
            <v>2959</v>
          </cell>
          <cell r="B291">
            <v>570</v>
          </cell>
          <cell r="C291">
            <v>6</v>
          </cell>
          <cell r="D291" t="str">
            <v>YES</v>
          </cell>
          <cell r="E291" t="str">
            <v>NO</v>
          </cell>
          <cell r="F291" t="str">
            <v>YES</v>
          </cell>
          <cell r="G291" t="str">
            <v>NO</v>
          </cell>
          <cell r="H291" t="str">
            <v>YES</v>
          </cell>
          <cell r="I291" t="str">
            <v>YES</v>
          </cell>
          <cell r="J291" t="str">
            <v>NO</v>
          </cell>
          <cell r="K291" t="str">
            <v>YES</v>
          </cell>
          <cell r="L291" t="str">
            <v>YES</v>
          </cell>
          <cell r="M291" t="str">
            <v>NO</v>
          </cell>
          <cell r="N291" t="str">
            <v>NO</v>
          </cell>
        </row>
        <row r="292">
          <cell r="A292">
            <v>2965</v>
          </cell>
          <cell r="B292">
            <v>570</v>
          </cell>
          <cell r="C292">
            <v>6</v>
          </cell>
          <cell r="D292" t="str">
            <v>YES</v>
          </cell>
          <cell r="E292" t="str">
            <v>NO</v>
          </cell>
          <cell r="F292" t="str">
            <v>YES</v>
          </cell>
          <cell r="G292" t="str">
            <v>NO</v>
          </cell>
          <cell r="H292" t="str">
            <v>YES</v>
          </cell>
          <cell r="I292" t="str">
            <v>YES</v>
          </cell>
          <cell r="J292" t="str">
            <v>NO</v>
          </cell>
          <cell r="K292" t="str">
            <v>YES</v>
          </cell>
          <cell r="L292" t="str">
            <v>YES</v>
          </cell>
          <cell r="M292" t="str">
            <v>NO</v>
          </cell>
          <cell r="N292" t="str">
            <v>NO</v>
          </cell>
        </row>
        <row r="293">
          <cell r="A293">
            <v>2970</v>
          </cell>
          <cell r="B293">
            <v>570</v>
          </cell>
          <cell r="C293">
            <v>6</v>
          </cell>
          <cell r="D293" t="str">
            <v>YES</v>
          </cell>
          <cell r="E293" t="str">
            <v>NO</v>
          </cell>
          <cell r="F293" t="str">
            <v>YES</v>
          </cell>
          <cell r="G293" t="str">
            <v>NO</v>
          </cell>
          <cell r="H293" t="str">
            <v>YES</v>
          </cell>
          <cell r="I293" t="str">
            <v>YES</v>
          </cell>
          <cell r="J293" t="str">
            <v>NO</v>
          </cell>
          <cell r="K293" t="str">
            <v>YES</v>
          </cell>
          <cell r="L293" t="str">
            <v>YES</v>
          </cell>
          <cell r="M293" t="str">
            <v>NO</v>
          </cell>
          <cell r="N293" t="str">
            <v>NO</v>
          </cell>
        </row>
        <row r="294">
          <cell r="A294">
            <v>2975</v>
          </cell>
          <cell r="B294">
            <v>570</v>
          </cell>
          <cell r="C294">
            <v>6</v>
          </cell>
          <cell r="D294" t="str">
            <v>YES</v>
          </cell>
          <cell r="E294" t="str">
            <v>NO</v>
          </cell>
          <cell r="F294" t="str">
            <v>YES</v>
          </cell>
          <cell r="G294" t="str">
            <v>NO</v>
          </cell>
          <cell r="H294" t="str">
            <v>YES</v>
          </cell>
          <cell r="I294" t="str">
            <v>YES</v>
          </cell>
          <cell r="J294" t="str">
            <v>NO</v>
          </cell>
          <cell r="K294" t="str">
            <v>YES</v>
          </cell>
          <cell r="L294" t="str">
            <v>YES</v>
          </cell>
          <cell r="M294" t="str">
            <v>NO</v>
          </cell>
          <cell r="N294" t="str">
            <v>NO</v>
          </cell>
        </row>
        <row r="295">
          <cell r="A295">
            <v>2985</v>
          </cell>
          <cell r="B295">
            <v>570</v>
          </cell>
          <cell r="C295">
            <v>6</v>
          </cell>
          <cell r="D295" t="str">
            <v>YES</v>
          </cell>
          <cell r="E295" t="str">
            <v>NO</v>
          </cell>
          <cell r="F295" t="str">
            <v>YES</v>
          </cell>
          <cell r="G295" t="str">
            <v>NO</v>
          </cell>
          <cell r="H295" t="str">
            <v>YES</v>
          </cell>
          <cell r="I295" t="str">
            <v>YES</v>
          </cell>
          <cell r="J295" t="str">
            <v>NO</v>
          </cell>
          <cell r="K295" t="str">
            <v>YES</v>
          </cell>
          <cell r="L295" t="str">
            <v>YES</v>
          </cell>
          <cell r="M295" t="str">
            <v>NO</v>
          </cell>
          <cell r="N295" t="str">
            <v>NO</v>
          </cell>
        </row>
        <row r="296">
          <cell r="A296">
            <v>3000</v>
          </cell>
          <cell r="B296">
            <v>571</v>
          </cell>
          <cell r="C296">
            <v>7</v>
          </cell>
          <cell r="D296" t="str">
            <v>NO</v>
          </cell>
          <cell r="E296" t="str">
            <v>YES</v>
          </cell>
          <cell r="F296" t="str">
            <v>NO</v>
          </cell>
          <cell r="G296" t="str">
            <v>NO</v>
          </cell>
          <cell r="H296" t="str">
            <v>NO</v>
          </cell>
          <cell r="I296" t="str">
            <v>NO</v>
          </cell>
          <cell r="J296" t="str">
            <v>YES</v>
          </cell>
          <cell r="K296" t="str">
            <v>NO</v>
          </cell>
          <cell r="L296" t="str">
            <v>NO</v>
          </cell>
          <cell r="M296" t="str">
            <v>YES</v>
          </cell>
          <cell r="N296" t="str">
            <v>NO</v>
          </cell>
        </row>
        <row r="297">
          <cell r="A297">
            <v>3004</v>
          </cell>
          <cell r="B297">
            <v>571</v>
          </cell>
          <cell r="C297">
            <v>7</v>
          </cell>
          <cell r="D297" t="str">
            <v>NO</v>
          </cell>
          <cell r="E297" t="str">
            <v>YES</v>
          </cell>
          <cell r="F297" t="str">
            <v>NO</v>
          </cell>
          <cell r="G297" t="str">
            <v>NO</v>
          </cell>
          <cell r="H297" t="str">
            <v>NO</v>
          </cell>
          <cell r="I297" t="str">
            <v>NO</v>
          </cell>
          <cell r="J297" t="str">
            <v>YES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NO</v>
          </cell>
        </row>
        <row r="298">
          <cell r="A298">
            <v>3010</v>
          </cell>
          <cell r="B298">
            <v>571</v>
          </cell>
          <cell r="C298">
            <v>7</v>
          </cell>
          <cell r="D298" t="str">
            <v>NO</v>
          </cell>
          <cell r="E298" t="str">
            <v>YES</v>
          </cell>
          <cell r="F298" t="str">
            <v>NO</v>
          </cell>
          <cell r="G298" t="str">
            <v>NO</v>
          </cell>
          <cell r="H298" t="str">
            <v>NO</v>
          </cell>
          <cell r="I298" t="str">
            <v>NO</v>
          </cell>
          <cell r="J298" t="str">
            <v>YES</v>
          </cell>
          <cell r="K298" t="str">
            <v>NO</v>
          </cell>
          <cell r="L298" t="str">
            <v>NO</v>
          </cell>
          <cell r="M298" t="str">
            <v>YES</v>
          </cell>
          <cell r="N298" t="str">
            <v>NO</v>
          </cell>
        </row>
        <row r="299">
          <cell r="A299">
            <v>3020</v>
          </cell>
          <cell r="B299">
            <v>571</v>
          </cell>
          <cell r="C299">
            <v>7</v>
          </cell>
          <cell r="D299" t="str">
            <v>NO</v>
          </cell>
          <cell r="E299" t="str">
            <v>YES</v>
          </cell>
          <cell r="F299" t="str">
            <v>NO</v>
          </cell>
          <cell r="G299" t="str">
            <v>NO</v>
          </cell>
          <cell r="H299" t="str">
            <v>NO</v>
          </cell>
          <cell r="I299" t="str">
            <v>NO</v>
          </cell>
          <cell r="J299" t="str">
            <v>YES</v>
          </cell>
          <cell r="K299" t="str">
            <v>NO</v>
          </cell>
          <cell r="L299" t="str">
            <v>NO</v>
          </cell>
          <cell r="M299" t="str">
            <v>YES</v>
          </cell>
          <cell r="N299" t="str">
            <v>NO</v>
          </cell>
        </row>
        <row r="300">
          <cell r="A300">
            <v>3025</v>
          </cell>
          <cell r="B300">
            <v>571</v>
          </cell>
          <cell r="C300">
            <v>7</v>
          </cell>
          <cell r="D300" t="str">
            <v>NO</v>
          </cell>
          <cell r="E300" t="str">
            <v>YES</v>
          </cell>
          <cell r="F300" t="str">
            <v>NO</v>
          </cell>
          <cell r="G300" t="str">
            <v>NO</v>
          </cell>
          <cell r="H300" t="str">
            <v>NO</v>
          </cell>
          <cell r="I300" t="str">
            <v>NO</v>
          </cell>
          <cell r="J300" t="str">
            <v>YES</v>
          </cell>
          <cell r="K300" t="str">
            <v>NO</v>
          </cell>
          <cell r="L300" t="str">
            <v>NO</v>
          </cell>
          <cell r="M300" t="str">
            <v>YES</v>
          </cell>
          <cell r="N300" t="str">
            <v>NO</v>
          </cell>
        </row>
        <row r="301">
          <cell r="A301">
            <v>3030</v>
          </cell>
          <cell r="B301">
            <v>571</v>
          </cell>
          <cell r="C301">
            <v>7</v>
          </cell>
          <cell r="D301" t="str">
            <v>NO</v>
          </cell>
          <cell r="E301" t="str">
            <v>YES</v>
          </cell>
          <cell r="F301" t="str">
            <v>NO</v>
          </cell>
          <cell r="G301" t="str">
            <v>NO</v>
          </cell>
          <cell r="H301" t="str">
            <v>NO</v>
          </cell>
          <cell r="I301" t="str">
            <v>NO</v>
          </cell>
          <cell r="J301" t="str">
            <v>YES</v>
          </cell>
          <cell r="K301" t="str">
            <v>NO</v>
          </cell>
          <cell r="L301" t="str">
            <v>NO</v>
          </cell>
          <cell r="M301" t="str">
            <v>YES</v>
          </cell>
          <cell r="N301" t="str">
            <v>NO</v>
          </cell>
        </row>
        <row r="302">
          <cell r="A302">
            <v>3034</v>
          </cell>
          <cell r="B302">
            <v>571</v>
          </cell>
          <cell r="C302">
            <v>7</v>
          </cell>
          <cell r="D302" t="str">
            <v>NO</v>
          </cell>
          <cell r="E302" t="str">
            <v>YES</v>
          </cell>
          <cell r="F302" t="str">
            <v>NO</v>
          </cell>
          <cell r="G302" t="str">
            <v>NO</v>
          </cell>
          <cell r="H302" t="str">
            <v>NO</v>
          </cell>
          <cell r="I302" t="str">
            <v>NO</v>
          </cell>
          <cell r="J302" t="str">
            <v>YES</v>
          </cell>
          <cell r="K302" t="str">
            <v>NO</v>
          </cell>
          <cell r="L302" t="str">
            <v>NO</v>
          </cell>
          <cell r="M302" t="str">
            <v>YES</v>
          </cell>
          <cell r="N302" t="str">
            <v>NO</v>
          </cell>
        </row>
        <row r="303">
          <cell r="A303">
            <v>3040</v>
          </cell>
          <cell r="B303">
            <v>571</v>
          </cell>
          <cell r="C303">
            <v>7</v>
          </cell>
          <cell r="D303" t="str">
            <v>NO</v>
          </cell>
          <cell r="E303" t="str">
            <v>YES</v>
          </cell>
          <cell r="F303" t="str">
            <v>NO</v>
          </cell>
          <cell r="G303" t="str">
            <v>NO</v>
          </cell>
          <cell r="H303" t="str">
            <v>NO</v>
          </cell>
          <cell r="I303" t="str">
            <v>NO</v>
          </cell>
          <cell r="J303" t="str">
            <v>YES</v>
          </cell>
          <cell r="K303" t="str">
            <v>NO</v>
          </cell>
          <cell r="L303" t="str">
            <v>NO</v>
          </cell>
          <cell r="M303" t="str">
            <v>YES</v>
          </cell>
          <cell r="N303" t="str">
            <v>NO</v>
          </cell>
        </row>
        <row r="304">
          <cell r="A304">
            <v>3044</v>
          </cell>
          <cell r="B304">
            <v>571</v>
          </cell>
          <cell r="C304">
            <v>7</v>
          </cell>
          <cell r="D304" t="str">
            <v>NO</v>
          </cell>
          <cell r="E304" t="str">
            <v>YES</v>
          </cell>
          <cell r="F304" t="str">
            <v>NO</v>
          </cell>
          <cell r="G304" t="str">
            <v>NO</v>
          </cell>
          <cell r="H304" t="str">
            <v>NO</v>
          </cell>
          <cell r="I304" t="str">
            <v>NO</v>
          </cell>
          <cell r="J304" t="str">
            <v>YES</v>
          </cell>
          <cell r="K304" t="str">
            <v>NO</v>
          </cell>
          <cell r="L304" t="str">
            <v>NO</v>
          </cell>
          <cell r="M304" t="str">
            <v>YES</v>
          </cell>
          <cell r="N304" t="str">
            <v>NO</v>
          </cell>
        </row>
        <row r="305">
          <cell r="A305">
            <v>3045</v>
          </cell>
          <cell r="B305">
            <v>571</v>
          </cell>
          <cell r="C305">
            <v>7</v>
          </cell>
          <cell r="D305" t="str">
            <v>NO</v>
          </cell>
          <cell r="E305" t="str">
            <v>YES</v>
          </cell>
          <cell r="F305" t="str">
            <v>NO</v>
          </cell>
          <cell r="G305" t="str">
            <v>NO</v>
          </cell>
          <cell r="H305" t="str">
            <v>NO</v>
          </cell>
          <cell r="I305" t="str">
            <v>NO</v>
          </cell>
          <cell r="J305" t="str">
            <v>YES</v>
          </cell>
          <cell r="K305" t="str">
            <v>NO</v>
          </cell>
          <cell r="L305" t="str">
            <v>NO</v>
          </cell>
          <cell r="M305" t="str">
            <v>YES</v>
          </cell>
          <cell r="N305" t="str">
            <v>NO</v>
          </cell>
        </row>
        <row r="306">
          <cell r="A306">
            <v>3049</v>
          </cell>
          <cell r="B306">
            <v>571</v>
          </cell>
          <cell r="C306">
            <v>7</v>
          </cell>
          <cell r="D306" t="str">
            <v>NO</v>
          </cell>
          <cell r="E306" t="str">
            <v>YES</v>
          </cell>
          <cell r="F306" t="str">
            <v>NO</v>
          </cell>
          <cell r="G306" t="str">
            <v>NO</v>
          </cell>
          <cell r="H306" t="str">
            <v>NO</v>
          </cell>
          <cell r="I306" t="str">
            <v>NO</v>
          </cell>
          <cell r="J306" t="str">
            <v>YES</v>
          </cell>
          <cell r="K306" t="str">
            <v>NO</v>
          </cell>
          <cell r="L306" t="str">
            <v>NO</v>
          </cell>
          <cell r="M306" t="str">
            <v>YES</v>
          </cell>
          <cell r="N306" t="str">
            <v>NO</v>
          </cell>
        </row>
        <row r="307">
          <cell r="A307">
            <v>3050</v>
          </cell>
          <cell r="B307">
            <v>571</v>
          </cell>
          <cell r="C307">
            <v>7</v>
          </cell>
          <cell r="D307" t="str">
            <v>NO</v>
          </cell>
          <cell r="E307" t="str">
            <v>YES</v>
          </cell>
          <cell r="F307" t="str">
            <v>NO</v>
          </cell>
          <cell r="G307" t="str">
            <v>NO</v>
          </cell>
          <cell r="H307" t="str">
            <v>NO</v>
          </cell>
          <cell r="I307" t="str">
            <v>NO</v>
          </cell>
          <cell r="J307" t="str">
            <v>YES</v>
          </cell>
          <cell r="K307" t="str">
            <v>NO</v>
          </cell>
          <cell r="L307" t="str">
            <v>NO</v>
          </cell>
          <cell r="M307" t="str">
            <v>YES</v>
          </cell>
          <cell r="N307" t="str">
            <v>NO</v>
          </cell>
        </row>
        <row r="308">
          <cell r="A308">
            <v>3054</v>
          </cell>
          <cell r="B308">
            <v>571</v>
          </cell>
          <cell r="C308">
            <v>7</v>
          </cell>
          <cell r="D308" t="str">
            <v>NO</v>
          </cell>
          <cell r="E308" t="str">
            <v>YES</v>
          </cell>
          <cell r="F308" t="str">
            <v>NO</v>
          </cell>
          <cell r="G308" t="str">
            <v>NO</v>
          </cell>
          <cell r="H308" t="str">
            <v>NO</v>
          </cell>
          <cell r="I308" t="str">
            <v>NO</v>
          </cell>
          <cell r="J308" t="str">
            <v>YES</v>
          </cell>
          <cell r="K308" t="str">
            <v>NO</v>
          </cell>
          <cell r="L308" t="str">
            <v>NO</v>
          </cell>
          <cell r="M308" t="str">
            <v>YES</v>
          </cell>
          <cell r="N308" t="str">
            <v>NO</v>
          </cell>
        </row>
        <row r="309">
          <cell r="A309">
            <v>3060</v>
          </cell>
          <cell r="B309">
            <v>571</v>
          </cell>
          <cell r="C309">
            <v>7</v>
          </cell>
          <cell r="D309" t="str">
            <v>NO</v>
          </cell>
          <cell r="E309" t="str">
            <v>YES</v>
          </cell>
          <cell r="F309" t="str">
            <v>NO</v>
          </cell>
          <cell r="G309" t="str">
            <v>NO</v>
          </cell>
          <cell r="H309" t="str">
            <v>NO</v>
          </cell>
          <cell r="I309" t="str">
            <v>NO</v>
          </cell>
          <cell r="J309" t="str">
            <v>YES</v>
          </cell>
          <cell r="K309" t="str">
            <v>NO</v>
          </cell>
          <cell r="L309" t="str">
            <v>NO</v>
          </cell>
          <cell r="M309" t="str">
            <v>YES</v>
          </cell>
          <cell r="N309" t="str">
            <v>NO</v>
          </cell>
        </row>
        <row r="310">
          <cell r="A310">
            <v>3064</v>
          </cell>
          <cell r="B310">
            <v>571</v>
          </cell>
          <cell r="C310">
            <v>7</v>
          </cell>
          <cell r="D310" t="str">
            <v>NO</v>
          </cell>
          <cell r="E310" t="str">
            <v>YES</v>
          </cell>
          <cell r="F310" t="str">
            <v>NO</v>
          </cell>
          <cell r="G310" t="str">
            <v>NO</v>
          </cell>
          <cell r="H310" t="str">
            <v>NO</v>
          </cell>
          <cell r="I310" t="str">
            <v>NO</v>
          </cell>
          <cell r="J310" t="str">
            <v>YES</v>
          </cell>
          <cell r="K310" t="str">
            <v>NO</v>
          </cell>
          <cell r="L310" t="str">
            <v>NO</v>
          </cell>
          <cell r="M310" t="str">
            <v>YES</v>
          </cell>
          <cell r="N310" t="str">
            <v>NO</v>
          </cell>
        </row>
        <row r="311">
          <cell r="A311">
            <v>3065</v>
          </cell>
          <cell r="B311">
            <v>571</v>
          </cell>
          <cell r="C311">
            <v>7</v>
          </cell>
          <cell r="D311" t="str">
            <v>NO</v>
          </cell>
          <cell r="E311" t="str">
            <v>YES</v>
          </cell>
          <cell r="F311" t="str">
            <v>NO</v>
          </cell>
          <cell r="G311" t="str">
            <v>NO</v>
          </cell>
          <cell r="H311" t="str">
            <v>NO</v>
          </cell>
          <cell r="I311" t="str">
            <v>NO</v>
          </cell>
          <cell r="J311" t="str">
            <v>YES</v>
          </cell>
          <cell r="K311" t="str">
            <v>NO</v>
          </cell>
          <cell r="L311" t="str">
            <v>NO</v>
          </cell>
          <cell r="M311" t="str">
            <v>YES</v>
          </cell>
          <cell r="N311" t="str">
            <v>NO</v>
          </cell>
        </row>
        <row r="312">
          <cell r="A312">
            <v>3070</v>
          </cell>
          <cell r="B312">
            <v>571</v>
          </cell>
          <cell r="C312">
            <v>7</v>
          </cell>
          <cell r="D312" t="str">
            <v>NO</v>
          </cell>
          <cell r="E312" t="str">
            <v>YES</v>
          </cell>
          <cell r="F312" t="str">
            <v>NO</v>
          </cell>
          <cell r="G312" t="str">
            <v>NO</v>
          </cell>
          <cell r="H312" t="str">
            <v>NO</v>
          </cell>
          <cell r="I312" t="str">
            <v>NO</v>
          </cell>
          <cell r="J312" t="str">
            <v>YES</v>
          </cell>
          <cell r="K312" t="str">
            <v>NO</v>
          </cell>
          <cell r="L312" t="str">
            <v>NO</v>
          </cell>
          <cell r="M312" t="str">
            <v>YES</v>
          </cell>
          <cell r="N312" t="str">
            <v>NO</v>
          </cell>
        </row>
        <row r="313">
          <cell r="A313">
            <v>3080</v>
          </cell>
          <cell r="B313">
            <v>571</v>
          </cell>
          <cell r="C313">
            <v>7</v>
          </cell>
          <cell r="D313" t="str">
            <v>NO</v>
          </cell>
          <cell r="E313" t="str">
            <v>YES</v>
          </cell>
          <cell r="F313" t="str">
            <v>NO</v>
          </cell>
          <cell r="G313" t="str">
            <v>NO</v>
          </cell>
          <cell r="H313" t="str">
            <v>NO</v>
          </cell>
          <cell r="I313" t="str">
            <v>NO</v>
          </cell>
          <cell r="J313" t="str">
            <v>YES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NO</v>
          </cell>
        </row>
        <row r="314">
          <cell r="A314">
            <v>3082</v>
          </cell>
          <cell r="B314">
            <v>571</v>
          </cell>
          <cell r="C314">
            <v>7</v>
          </cell>
          <cell r="D314" t="str">
            <v>NO</v>
          </cell>
          <cell r="E314" t="str">
            <v>YES</v>
          </cell>
          <cell r="F314" t="str">
            <v>NO</v>
          </cell>
          <cell r="G314" t="str">
            <v>NO</v>
          </cell>
          <cell r="H314" t="str">
            <v>NO</v>
          </cell>
          <cell r="I314" t="str">
            <v>NO</v>
          </cell>
          <cell r="J314" t="str">
            <v>YES</v>
          </cell>
          <cell r="K314" t="str">
            <v>NO</v>
          </cell>
          <cell r="L314" t="str">
            <v>NO</v>
          </cell>
          <cell r="M314" t="str">
            <v>YES</v>
          </cell>
          <cell r="N314" t="str">
            <v>NO</v>
          </cell>
        </row>
        <row r="315">
          <cell r="A315">
            <v>3084</v>
          </cell>
          <cell r="B315">
            <v>571</v>
          </cell>
          <cell r="C315">
            <v>7</v>
          </cell>
          <cell r="D315" t="str">
            <v>NO</v>
          </cell>
          <cell r="E315" t="str">
            <v>YES</v>
          </cell>
          <cell r="F315" t="str">
            <v>NO</v>
          </cell>
          <cell r="G315" t="str">
            <v>NO</v>
          </cell>
          <cell r="H315" t="str">
            <v>NO</v>
          </cell>
          <cell r="I315" t="str">
            <v>NO</v>
          </cell>
          <cell r="J315" t="str">
            <v>YES</v>
          </cell>
          <cell r="K315" t="str">
            <v>NO</v>
          </cell>
          <cell r="L315" t="str">
            <v>NO</v>
          </cell>
          <cell r="M315" t="str">
            <v>YES</v>
          </cell>
          <cell r="N315" t="str">
            <v>NO</v>
          </cell>
        </row>
        <row r="316">
          <cell r="A316">
            <v>3090</v>
          </cell>
          <cell r="B316">
            <v>571</v>
          </cell>
          <cell r="C316">
            <v>7</v>
          </cell>
          <cell r="D316" t="str">
            <v>NO</v>
          </cell>
          <cell r="E316" t="str">
            <v>YES</v>
          </cell>
          <cell r="F316" t="str">
            <v>NO</v>
          </cell>
          <cell r="G316" t="str">
            <v>NO</v>
          </cell>
          <cell r="H316" t="str">
            <v>NO</v>
          </cell>
          <cell r="I316" t="str">
            <v>NO</v>
          </cell>
          <cell r="J316" t="str">
            <v>YES</v>
          </cell>
          <cell r="K316" t="str">
            <v>NO</v>
          </cell>
          <cell r="L316" t="str">
            <v>NO</v>
          </cell>
          <cell r="M316" t="str">
            <v>YES</v>
          </cell>
          <cell r="N316" t="str">
            <v>NO</v>
          </cell>
        </row>
        <row r="317">
          <cell r="A317">
            <v>3094</v>
          </cell>
          <cell r="B317">
            <v>571</v>
          </cell>
          <cell r="C317">
            <v>7</v>
          </cell>
          <cell r="D317" t="str">
            <v>NO</v>
          </cell>
          <cell r="E317" t="str">
            <v>YES</v>
          </cell>
          <cell r="F317" t="str">
            <v>NO</v>
          </cell>
          <cell r="G317" t="str">
            <v>NO</v>
          </cell>
          <cell r="H317" t="str">
            <v>NO</v>
          </cell>
          <cell r="I317" t="str">
            <v>NO</v>
          </cell>
          <cell r="J317" t="str">
            <v>YES</v>
          </cell>
          <cell r="K317" t="str">
            <v>NO</v>
          </cell>
          <cell r="L317" t="str">
            <v>NO</v>
          </cell>
          <cell r="M317" t="str">
            <v>YES</v>
          </cell>
          <cell r="N317" t="str">
            <v>NO</v>
          </cell>
        </row>
        <row r="318">
          <cell r="A318">
            <v>3100</v>
          </cell>
          <cell r="B318">
            <v>571</v>
          </cell>
          <cell r="C318">
            <v>7</v>
          </cell>
          <cell r="D318" t="str">
            <v>NO</v>
          </cell>
          <cell r="E318" t="str">
            <v>YES</v>
          </cell>
          <cell r="F318" t="str">
            <v>NO</v>
          </cell>
          <cell r="G318" t="str">
            <v>NO</v>
          </cell>
          <cell r="H318" t="str">
            <v>NO</v>
          </cell>
          <cell r="I318" t="str">
            <v>NO</v>
          </cell>
          <cell r="J318" t="str">
            <v>YES</v>
          </cell>
          <cell r="K318" t="str">
            <v>NO</v>
          </cell>
          <cell r="L318" t="str">
            <v>NO</v>
          </cell>
          <cell r="M318" t="str">
            <v>YES</v>
          </cell>
          <cell r="N318" t="str">
            <v>NO</v>
          </cell>
        </row>
        <row r="319">
          <cell r="A319">
            <v>3105</v>
          </cell>
          <cell r="B319">
            <v>571</v>
          </cell>
          <cell r="C319">
            <v>7</v>
          </cell>
          <cell r="D319" t="str">
            <v>NO</v>
          </cell>
          <cell r="E319" t="str">
            <v>YES</v>
          </cell>
          <cell r="F319" t="str">
            <v>NO</v>
          </cell>
          <cell r="G319" t="str">
            <v>NO</v>
          </cell>
          <cell r="H319" t="str">
            <v>NO</v>
          </cell>
          <cell r="I319" t="str">
            <v>NO</v>
          </cell>
          <cell r="J319" t="str">
            <v>YES</v>
          </cell>
          <cell r="K319" t="str">
            <v>NO</v>
          </cell>
          <cell r="L319" t="str">
            <v>NO</v>
          </cell>
          <cell r="M319" t="str">
            <v>YES</v>
          </cell>
          <cell r="N319" t="str">
            <v>NO</v>
          </cell>
        </row>
        <row r="320">
          <cell r="A320">
            <v>3115</v>
          </cell>
          <cell r="B320">
            <v>571</v>
          </cell>
          <cell r="C320">
            <v>7</v>
          </cell>
          <cell r="D320" t="str">
            <v>NO</v>
          </cell>
          <cell r="E320" t="str">
            <v>YES</v>
          </cell>
          <cell r="F320" t="str">
            <v>NO</v>
          </cell>
          <cell r="G320" t="str">
            <v>NO</v>
          </cell>
          <cell r="H320" t="str">
            <v>NO</v>
          </cell>
          <cell r="I320" t="str">
            <v>NO</v>
          </cell>
          <cell r="J320" t="str">
            <v>YES</v>
          </cell>
          <cell r="K320" t="str">
            <v>NO</v>
          </cell>
          <cell r="L320" t="str">
            <v>NO</v>
          </cell>
          <cell r="M320" t="str">
            <v>YES</v>
          </cell>
          <cell r="N320" t="str">
            <v>NO</v>
          </cell>
        </row>
        <row r="321">
          <cell r="A321">
            <v>3125</v>
          </cell>
          <cell r="B321">
            <v>571</v>
          </cell>
          <cell r="C321">
            <v>7</v>
          </cell>
          <cell r="D321" t="str">
            <v>NO</v>
          </cell>
          <cell r="E321" t="str">
            <v>YES</v>
          </cell>
          <cell r="F321" t="str">
            <v>NO</v>
          </cell>
          <cell r="G321" t="str">
            <v>NO</v>
          </cell>
          <cell r="H321" t="str">
            <v>NO</v>
          </cell>
          <cell r="I321" t="str">
            <v>NO</v>
          </cell>
          <cell r="J321" t="str">
            <v>YES</v>
          </cell>
          <cell r="K321" t="str">
            <v>NO</v>
          </cell>
          <cell r="L321" t="str">
            <v>NO</v>
          </cell>
          <cell r="M321" t="str">
            <v>YES</v>
          </cell>
          <cell r="N321" t="str">
            <v>NO</v>
          </cell>
        </row>
        <row r="322">
          <cell r="A322">
            <v>3130</v>
          </cell>
          <cell r="B322">
            <v>571</v>
          </cell>
          <cell r="C322">
            <v>7</v>
          </cell>
          <cell r="D322" t="str">
            <v>NO</v>
          </cell>
          <cell r="E322" t="str">
            <v>YES</v>
          </cell>
          <cell r="F322" t="str">
            <v>NO</v>
          </cell>
          <cell r="G322" t="str">
            <v>NO</v>
          </cell>
          <cell r="H322" t="str">
            <v>NO</v>
          </cell>
          <cell r="I322" t="str">
            <v>NO</v>
          </cell>
          <cell r="J322" t="str">
            <v>YES</v>
          </cell>
          <cell r="K322" t="str">
            <v>NO</v>
          </cell>
          <cell r="L322" t="str">
            <v>NO</v>
          </cell>
          <cell r="M322" t="str">
            <v>YES</v>
          </cell>
          <cell r="N322" t="str">
            <v>NO</v>
          </cell>
        </row>
        <row r="323">
          <cell r="A323">
            <v>3140</v>
          </cell>
          <cell r="B323">
            <v>571</v>
          </cell>
          <cell r="C323">
            <v>7</v>
          </cell>
          <cell r="D323" t="str">
            <v>NO</v>
          </cell>
          <cell r="E323" t="str">
            <v>YES</v>
          </cell>
          <cell r="F323" t="str">
            <v>NO</v>
          </cell>
          <cell r="G323" t="str">
            <v>NO</v>
          </cell>
          <cell r="H323" t="str">
            <v>NO</v>
          </cell>
          <cell r="I323" t="str">
            <v>NO</v>
          </cell>
          <cell r="J323" t="str">
            <v>YES</v>
          </cell>
          <cell r="K323" t="str">
            <v>NO</v>
          </cell>
          <cell r="L323" t="str">
            <v>NO</v>
          </cell>
          <cell r="M323" t="str">
            <v>YES</v>
          </cell>
          <cell r="N323" t="str">
            <v>NO</v>
          </cell>
        </row>
        <row r="324">
          <cell r="A324">
            <v>3150</v>
          </cell>
          <cell r="B324">
            <v>571</v>
          </cell>
          <cell r="C324">
            <v>7</v>
          </cell>
          <cell r="D324" t="str">
            <v>NO</v>
          </cell>
          <cell r="E324" t="str">
            <v>YES</v>
          </cell>
          <cell r="F324" t="str">
            <v>NO</v>
          </cell>
          <cell r="G324" t="str">
            <v>NO</v>
          </cell>
          <cell r="H324" t="str">
            <v>NO</v>
          </cell>
          <cell r="I324" t="str">
            <v>NO</v>
          </cell>
          <cell r="J324" t="str">
            <v>YES</v>
          </cell>
          <cell r="K324" t="str">
            <v>NO</v>
          </cell>
          <cell r="L324" t="str">
            <v>NO</v>
          </cell>
          <cell r="M324" t="str">
            <v>YES</v>
          </cell>
          <cell r="N324" t="str">
            <v>NO</v>
          </cell>
        </row>
        <row r="325">
          <cell r="A325">
            <v>3200</v>
          </cell>
          <cell r="B325">
            <v>571</v>
          </cell>
          <cell r="C325">
            <v>7</v>
          </cell>
          <cell r="D325" t="str">
            <v>NO</v>
          </cell>
          <cell r="E325" t="str">
            <v>YES</v>
          </cell>
          <cell r="F325" t="str">
            <v>NO</v>
          </cell>
          <cell r="G325" t="str">
            <v>NO</v>
          </cell>
          <cell r="H325" t="str">
            <v>NO</v>
          </cell>
          <cell r="I325" t="str">
            <v>NO</v>
          </cell>
          <cell r="J325" t="str">
            <v>YES</v>
          </cell>
          <cell r="K325" t="str">
            <v>NO</v>
          </cell>
          <cell r="L325" t="str">
            <v>NO</v>
          </cell>
          <cell r="M325" t="str">
            <v>YES</v>
          </cell>
          <cell r="N325" t="str">
            <v>NO</v>
          </cell>
        </row>
        <row r="326">
          <cell r="A326">
            <v>3220</v>
          </cell>
          <cell r="B326">
            <v>571</v>
          </cell>
          <cell r="C326">
            <v>7</v>
          </cell>
          <cell r="D326" t="str">
            <v>NO</v>
          </cell>
          <cell r="E326" t="str">
            <v>YES</v>
          </cell>
          <cell r="F326" t="str">
            <v>NO</v>
          </cell>
          <cell r="G326" t="str">
            <v>NO</v>
          </cell>
          <cell r="H326" t="str">
            <v>NO</v>
          </cell>
          <cell r="I326" t="str">
            <v>NO</v>
          </cell>
          <cell r="J326" t="str">
            <v>YES</v>
          </cell>
          <cell r="K326" t="str">
            <v>NO</v>
          </cell>
          <cell r="L326" t="str">
            <v>NO</v>
          </cell>
          <cell r="M326" t="str">
            <v>YES</v>
          </cell>
          <cell r="N326" t="str">
            <v>NO</v>
          </cell>
        </row>
        <row r="327">
          <cell r="A327">
            <v>3230</v>
          </cell>
          <cell r="B327">
            <v>571</v>
          </cell>
          <cell r="C327">
            <v>7</v>
          </cell>
          <cell r="D327" t="str">
            <v>NO</v>
          </cell>
          <cell r="E327" t="str">
            <v>YES</v>
          </cell>
          <cell r="F327" t="str">
            <v>NO</v>
          </cell>
          <cell r="G327" t="str">
            <v>NO</v>
          </cell>
          <cell r="H327" t="str">
            <v>NO</v>
          </cell>
          <cell r="I327" t="str">
            <v>NO</v>
          </cell>
          <cell r="J327" t="str">
            <v>YES</v>
          </cell>
          <cell r="K327" t="str">
            <v>NO</v>
          </cell>
          <cell r="L327" t="str">
            <v>NO</v>
          </cell>
          <cell r="M327" t="str">
            <v>YES</v>
          </cell>
          <cell r="N327" t="str">
            <v>NO</v>
          </cell>
        </row>
        <row r="328">
          <cell r="A328">
            <v>3240</v>
          </cell>
          <cell r="B328">
            <v>571</v>
          </cell>
          <cell r="C328">
            <v>7</v>
          </cell>
          <cell r="D328" t="str">
            <v>NO</v>
          </cell>
          <cell r="E328" t="str">
            <v>YES</v>
          </cell>
          <cell r="F328" t="str">
            <v>NO</v>
          </cell>
          <cell r="G328" t="str">
            <v>NO</v>
          </cell>
          <cell r="H328" t="str">
            <v>NO</v>
          </cell>
          <cell r="I328" t="str">
            <v>NO</v>
          </cell>
          <cell r="J328" t="str">
            <v>YES</v>
          </cell>
          <cell r="K328" t="str">
            <v>NO</v>
          </cell>
          <cell r="L328" t="str">
            <v>NO</v>
          </cell>
          <cell r="M328" t="str">
            <v>YES</v>
          </cell>
          <cell r="N328" t="str">
            <v>NO</v>
          </cell>
        </row>
        <row r="329">
          <cell r="A329">
            <v>3245</v>
          </cell>
          <cell r="B329">
            <v>571</v>
          </cell>
          <cell r="C329">
            <v>7</v>
          </cell>
          <cell r="D329" t="str">
            <v>NO</v>
          </cell>
          <cell r="E329" t="str">
            <v>YES</v>
          </cell>
          <cell r="F329" t="str">
            <v>NO</v>
          </cell>
          <cell r="G329" t="str">
            <v>NO</v>
          </cell>
          <cell r="H329" t="str">
            <v>NO</v>
          </cell>
          <cell r="I329" t="str">
            <v>NO</v>
          </cell>
          <cell r="J329" t="str">
            <v>YES</v>
          </cell>
          <cell r="K329" t="str">
            <v>NO</v>
          </cell>
          <cell r="L329" t="str">
            <v>NO</v>
          </cell>
          <cell r="M329" t="str">
            <v>YES</v>
          </cell>
          <cell r="N329" t="str">
            <v>NO</v>
          </cell>
        </row>
        <row r="330">
          <cell r="A330">
            <v>3250</v>
          </cell>
          <cell r="B330">
            <v>571</v>
          </cell>
          <cell r="C330">
            <v>7</v>
          </cell>
          <cell r="D330" t="str">
            <v>NO</v>
          </cell>
          <cell r="E330" t="str">
            <v>YES</v>
          </cell>
          <cell r="F330" t="str">
            <v>NO</v>
          </cell>
          <cell r="G330" t="str">
            <v>NO</v>
          </cell>
          <cell r="H330" t="str">
            <v>NO</v>
          </cell>
          <cell r="I330" t="str">
            <v>NO</v>
          </cell>
          <cell r="J330" t="str">
            <v>YES</v>
          </cell>
          <cell r="K330" t="str">
            <v>NO</v>
          </cell>
          <cell r="L330" t="str">
            <v>NO</v>
          </cell>
          <cell r="M330" t="str">
            <v>YES</v>
          </cell>
          <cell r="N330" t="str">
            <v>NO</v>
          </cell>
        </row>
        <row r="331">
          <cell r="A331">
            <v>3260</v>
          </cell>
          <cell r="B331">
            <v>571</v>
          </cell>
          <cell r="C331">
            <v>7</v>
          </cell>
          <cell r="D331" t="str">
            <v>NO</v>
          </cell>
          <cell r="E331" t="str">
            <v>YES</v>
          </cell>
          <cell r="F331" t="str">
            <v>NO</v>
          </cell>
          <cell r="G331" t="str">
            <v>NO</v>
          </cell>
          <cell r="H331" t="str">
            <v>NO</v>
          </cell>
          <cell r="I331" t="str">
            <v>NO</v>
          </cell>
          <cell r="J331" t="str">
            <v>YES</v>
          </cell>
          <cell r="K331" t="str">
            <v>NO</v>
          </cell>
          <cell r="L331" t="str">
            <v>NO</v>
          </cell>
          <cell r="M331" t="str">
            <v>YES</v>
          </cell>
          <cell r="N331" t="str">
            <v>NO</v>
          </cell>
        </row>
        <row r="332">
          <cell r="A332">
            <v>3270</v>
          </cell>
          <cell r="B332">
            <v>571</v>
          </cell>
          <cell r="C332">
            <v>7</v>
          </cell>
          <cell r="D332" t="str">
            <v>NO</v>
          </cell>
          <cell r="E332" t="str">
            <v>YES</v>
          </cell>
          <cell r="F332" t="str">
            <v>NO</v>
          </cell>
          <cell r="G332" t="str">
            <v>NO</v>
          </cell>
          <cell r="H332" t="str">
            <v>NO</v>
          </cell>
          <cell r="I332" t="str">
            <v>NO</v>
          </cell>
          <cell r="J332" t="str">
            <v>YES</v>
          </cell>
          <cell r="K332" t="str">
            <v>NO</v>
          </cell>
          <cell r="L332" t="str">
            <v>NO</v>
          </cell>
          <cell r="M332" t="str">
            <v>YES</v>
          </cell>
          <cell r="N332" t="str">
            <v>NO</v>
          </cell>
        </row>
        <row r="333">
          <cell r="A333">
            <v>3280</v>
          </cell>
          <cell r="B333">
            <v>571</v>
          </cell>
          <cell r="C333">
            <v>7</v>
          </cell>
          <cell r="D333" t="str">
            <v>NO</v>
          </cell>
          <cell r="E333" t="str">
            <v>YES</v>
          </cell>
          <cell r="F333" t="str">
            <v>NO</v>
          </cell>
          <cell r="G333" t="str">
            <v>NO</v>
          </cell>
          <cell r="H333" t="str">
            <v>NO</v>
          </cell>
          <cell r="I333" t="str">
            <v>NO</v>
          </cell>
          <cell r="J333" t="str">
            <v>YES</v>
          </cell>
          <cell r="K333" t="str">
            <v>NO</v>
          </cell>
          <cell r="L333" t="str">
            <v>NO</v>
          </cell>
          <cell r="M333" t="str">
            <v>YES</v>
          </cell>
          <cell r="N333" t="str">
            <v>NO</v>
          </cell>
        </row>
        <row r="334">
          <cell r="A334">
            <v>3300</v>
          </cell>
          <cell r="B334">
            <v>571</v>
          </cell>
          <cell r="C334">
            <v>7</v>
          </cell>
          <cell r="D334" t="str">
            <v>NO</v>
          </cell>
          <cell r="E334" t="str">
            <v>YES</v>
          </cell>
          <cell r="F334" t="str">
            <v>NO</v>
          </cell>
          <cell r="G334" t="str">
            <v>NO</v>
          </cell>
          <cell r="H334" t="str">
            <v>NO</v>
          </cell>
          <cell r="I334" t="str">
            <v>NO</v>
          </cell>
          <cell r="J334" t="str">
            <v>YES</v>
          </cell>
          <cell r="K334" t="str">
            <v>NO</v>
          </cell>
          <cell r="L334" t="str">
            <v>NO</v>
          </cell>
          <cell r="M334" t="str">
            <v>YES</v>
          </cell>
          <cell r="N334" t="str">
            <v>NO</v>
          </cell>
        </row>
        <row r="335">
          <cell r="A335">
            <v>3305</v>
          </cell>
          <cell r="B335">
            <v>571</v>
          </cell>
          <cell r="C335">
            <v>7</v>
          </cell>
          <cell r="D335" t="str">
            <v>NO</v>
          </cell>
          <cell r="E335" t="str">
            <v>YES</v>
          </cell>
          <cell r="F335" t="str">
            <v>NO</v>
          </cell>
          <cell r="G335" t="str">
            <v>NO</v>
          </cell>
          <cell r="H335" t="str">
            <v>NO</v>
          </cell>
          <cell r="I335" t="str">
            <v>NO</v>
          </cell>
          <cell r="J335" t="str">
            <v>YES</v>
          </cell>
          <cell r="K335" t="str">
            <v>NO</v>
          </cell>
          <cell r="L335" t="str">
            <v>NO</v>
          </cell>
          <cell r="M335" t="str">
            <v>YES</v>
          </cell>
          <cell r="N335" t="str">
            <v>NO</v>
          </cell>
        </row>
        <row r="336">
          <cell r="A336">
            <v>3315</v>
          </cell>
          <cell r="B336">
            <v>571</v>
          </cell>
          <cell r="C336">
            <v>7</v>
          </cell>
          <cell r="D336" t="str">
            <v>NO</v>
          </cell>
          <cell r="E336" t="str">
            <v>YES</v>
          </cell>
          <cell r="F336" t="str">
            <v>NO</v>
          </cell>
          <cell r="G336" t="str">
            <v>NO</v>
          </cell>
          <cell r="H336" t="str">
            <v>NO</v>
          </cell>
          <cell r="I336" t="str">
            <v>NO</v>
          </cell>
          <cell r="J336" t="str">
            <v>YES</v>
          </cell>
          <cell r="K336" t="str">
            <v>NO</v>
          </cell>
          <cell r="L336" t="str">
            <v>NO</v>
          </cell>
          <cell r="M336" t="str">
            <v>YES</v>
          </cell>
          <cell r="N336" t="str">
            <v>NO</v>
          </cell>
        </row>
        <row r="337">
          <cell r="A337">
            <v>3320</v>
          </cell>
          <cell r="B337">
            <v>571</v>
          </cell>
          <cell r="C337">
            <v>7</v>
          </cell>
          <cell r="D337" t="str">
            <v>NO</v>
          </cell>
          <cell r="E337" t="str">
            <v>YES</v>
          </cell>
          <cell r="F337" t="str">
            <v>NO</v>
          </cell>
          <cell r="G337" t="str">
            <v>NO</v>
          </cell>
          <cell r="H337" t="str">
            <v>NO</v>
          </cell>
          <cell r="I337" t="str">
            <v>NO</v>
          </cell>
          <cell r="J337" t="str">
            <v>YES</v>
          </cell>
          <cell r="K337" t="str">
            <v>NO</v>
          </cell>
          <cell r="L337" t="str">
            <v>NO</v>
          </cell>
          <cell r="M337" t="str">
            <v>YES</v>
          </cell>
          <cell r="N337" t="str">
            <v>NO</v>
          </cell>
        </row>
        <row r="338">
          <cell r="A338">
            <v>3330</v>
          </cell>
          <cell r="B338">
            <v>571</v>
          </cell>
          <cell r="C338">
            <v>7</v>
          </cell>
          <cell r="D338" t="str">
            <v>NO</v>
          </cell>
          <cell r="E338" t="str">
            <v>YES</v>
          </cell>
          <cell r="F338" t="str">
            <v>NO</v>
          </cell>
          <cell r="G338" t="str">
            <v>NO</v>
          </cell>
          <cell r="H338" t="str">
            <v>NO</v>
          </cell>
          <cell r="I338" t="str">
            <v>NO</v>
          </cell>
          <cell r="J338" t="str">
            <v>YES</v>
          </cell>
          <cell r="K338" t="str">
            <v>NO</v>
          </cell>
          <cell r="L338" t="str">
            <v>NO</v>
          </cell>
          <cell r="M338" t="str">
            <v>YES</v>
          </cell>
          <cell r="N338" t="str">
            <v>NO</v>
          </cell>
        </row>
        <row r="339">
          <cell r="A339">
            <v>3345</v>
          </cell>
          <cell r="B339">
            <v>571</v>
          </cell>
          <cell r="C339">
            <v>7</v>
          </cell>
          <cell r="D339" t="str">
            <v>NO</v>
          </cell>
          <cell r="E339" t="str">
            <v>YES</v>
          </cell>
          <cell r="F339" t="str">
            <v>NO</v>
          </cell>
          <cell r="G339" t="str">
            <v>NO</v>
          </cell>
          <cell r="H339" t="str">
            <v>NO</v>
          </cell>
          <cell r="I339" t="str">
            <v>NO</v>
          </cell>
          <cell r="J339" t="str">
            <v>YES</v>
          </cell>
          <cell r="K339" t="str">
            <v>NO</v>
          </cell>
          <cell r="L339" t="str">
            <v>NO</v>
          </cell>
          <cell r="M339" t="str">
            <v>YES</v>
          </cell>
          <cell r="N339" t="str">
            <v>NO</v>
          </cell>
        </row>
        <row r="340">
          <cell r="A340">
            <v>3350</v>
          </cell>
          <cell r="B340">
            <v>571</v>
          </cell>
          <cell r="C340">
            <v>7</v>
          </cell>
          <cell r="D340" t="str">
            <v>NO</v>
          </cell>
          <cell r="E340" t="str">
            <v>YES</v>
          </cell>
          <cell r="F340" t="str">
            <v>NO</v>
          </cell>
          <cell r="G340" t="str">
            <v>NO</v>
          </cell>
          <cell r="H340" t="str">
            <v>NO</v>
          </cell>
          <cell r="I340" t="str">
            <v>NO</v>
          </cell>
          <cell r="J340" t="str">
            <v>YES</v>
          </cell>
          <cell r="K340" t="str">
            <v>NO</v>
          </cell>
          <cell r="L340" t="str">
            <v>NO</v>
          </cell>
          <cell r="M340" t="str">
            <v>YES</v>
          </cell>
          <cell r="N340" t="str">
            <v>NO</v>
          </cell>
        </row>
        <row r="341">
          <cell r="A341">
            <v>3360</v>
          </cell>
          <cell r="B341">
            <v>571</v>
          </cell>
          <cell r="C341">
            <v>7</v>
          </cell>
          <cell r="D341" t="str">
            <v>NO</v>
          </cell>
          <cell r="E341" t="str">
            <v>YES</v>
          </cell>
          <cell r="F341" t="str">
            <v>NO</v>
          </cell>
          <cell r="G341" t="str">
            <v>NO</v>
          </cell>
          <cell r="H341" t="str">
            <v>NO</v>
          </cell>
          <cell r="I341" t="str">
            <v>NO</v>
          </cell>
          <cell r="J341" t="str">
            <v>YES</v>
          </cell>
          <cell r="K341" t="str">
            <v>NO</v>
          </cell>
          <cell r="L341" t="str">
            <v>NO</v>
          </cell>
          <cell r="M341" t="str">
            <v>YES</v>
          </cell>
          <cell r="N341" t="str">
            <v>NO</v>
          </cell>
        </row>
        <row r="342">
          <cell r="A342">
            <v>3365</v>
          </cell>
          <cell r="B342">
            <v>571</v>
          </cell>
          <cell r="C342">
            <v>7</v>
          </cell>
          <cell r="D342" t="str">
            <v>NO</v>
          </cell>
          <cell r="E342" t="str">
            <v>YES</v>
          </cell>
          <cell r="F342" t="str">
            <v>NO</v>
          </cell>
          <cell r="G342" t="str">
            <v>NO</v>
          </cell>
          <cell r="H342" t="str">
            <v>NO</v>
          </cell>
          <cell r="I342" t="str">
            <v>NO</v>
          </cell>
          <cell r="J342" t="str">
            <v>YES</v>
          </cell>
          <cell r="K342" t="str">
            <v>NO</v>
          </cell>
          <cell r="L342" t="str">
            <v>NO</v>
          </cell>
          <cell r="M342" t="str">
            <v>YES</v>
          </cell>
          <cell r="N342" t="str">
            <v>NO</v>
          </cell>
        </row>
        <row r="343">
          <cell r="A343">
            <v>3400</v>
          </cell>
          <cell r="B343">
            <v>571</v>
          </cell>
          <cell r="C343">
            <v>7</v>
          </cell>
          <cell r="D343" t="str">
            <v>NO</v>
          </cell>
          <cell r="E343" t="str">
            <v>YES</v>
          </cell>
          <cell r="F343" t="str">
            <v>NO</v>
          </cell>
          <cell r="G343" t="str">
            <v>NO</v>
          </cell>
          <cell r="H343" t="str">
            <v>NO</v>
          </cell>
          <cell r="I343" t="str">
            <v>NO</v>
          </cell>
          <cell r="J343" t="str">
            <v>YES</v>
          </cell>
          <cell r="K343" t="str">
            <v>NO</v>
          </cell>
          <cell r="L343" t="str">
            <v>NO</v>
          </cell>
          <cell r="M343" t="str">
            <v>YES</v>
          </cell>
          <cell r="N343" t="str">
            <v>NO</v>
          </cell>
        </row>
        <row r="344">
          <cell r="A344">
            <v>3405</v>
          </cell>
          <cell r="B344">
            <v>571</v>
          </cell>
          <cell r="C344">
            <v>7</v>
          </cell>
          <cell r="D344" t="str">
            <v>NO</v>
          </cell>
          <cell r="E344" t="str">
            <v>YES</v>
          </cell>
          <cell r="F344" t="str">
            <v>NO</v>
          </cell>
          <cell r="G344" t="str">
            <v>NO</v>
          </cell>
          <cell r="H344" t="str">
            <v>NO</v>
          </cell>
          <cell r="I344" t="str">
            <v>NO</v>
          </cell>
          <cell r="J344" t="str">
            <v>YES</v>
          </cell>
          <cell r="K344" t="str">
            <v>NO</v>
          </cell>
          <cell r="L344" t="str">
            <v>NO</v>
          </cell>
          <cell r="M344" t="str">
            <v>YES</v>
          </cell>
          <cell r="N344" t="str">
            <v>NO</v>
          </cell>
        </row>
        <row r="345">
          <cell r="A345">
            <v>3415</v>
          </cell>
          <cell r="B345">
            <v>571</v>
          </cell>
          <cell r="C345">
            <v>7</v>
          </cell>
          <cell r="D345" t="str">
            <v>NO</v>
          </cell>
          <cell r="E345" t="str">
            <v>YES</v>
          </cell>
          <cell r="F345" t="str">
            <v>NO</v>
          </cell>
          <cell r="G345" t="str">
            <v>NO</v>
          </cell>
          <cell r="H345" t="str">
            <v>NO</v>
          </cell>
          <cell r="I345" t="str">
            <v>NO</v>
          </cell>
          <cell r="J345" t="str">
            <v>YES</v>
          </cell>
          <cell r="K345" t="str">
            <v>NO</v>
          </cell>
          <cell r="L345" t="str">
            <v>NO</v>
          </cell>
          <cell r="M345" t="str">
            <v>YES</v>
          </cell>
          <cell r="N345" t="str">
            <v>NO</v>
          </cell>
        </row>
        <row r="346">
          <cell r="A346">
            <v>3420</v>
          </cell>
          <cell r="B346">
            <v>571</v>
          </cell>
          <cell r="C346">
            <v>7</v>
          </cell>
          <cell r="D346" t="str">
            <v>NO</v>
          </cell>
          <cell r="E346" t="str">
            <v>YES</v>
          </cell>
          <cell r="F346" t="str">
            <v>NO</v>
          </cell>
          <cell r="G346" t="str">
            <v>NO</v>
          </cell>
          <cell r="H346" t="str">
            <v>NO</v>
          </cell>
          <cell r="I346" t="str">
            <v>NO</v>
          </cell>
          <cell r="J346" t="str">
            <v>YES</v>
          </cell>
          <cell r="K346" t="str">
            <v>NO</v>
          </cell>
          <cell r="L346" t="str">
            <v>NO</v>
          </cell>
          <cell r="M346" t="str">
            <v>YES</v>
          </cell>
          <cell r="N346" t="str">
            <v>NO</v>
          </cell>
        </row>
        <row r="347">
          <cell r="A347">
            <v>3430</v>
          </cell>
          <cell r="B347">
            <v>571</v>
          </cell>
          <cell r="C347">
            <v>7</v>
          </cell>
          <cell r="D347" t="str">
            <v>NO</v>
          </cell>
          <cell r="E347" t="str">
            <v>YES</v>
          </cell>
          <cell r="F347" t="str">
            <v>NO</v>
          </cell>
          <cell r="G347" t="str">
            <v>NO</v>
          </cell>
          <cell r="H347" t="str">
            <v>NO</v>
          </cell>
          <cell r="I347" t="str">
            <v>NO</v>
          </cell>
          <cell r="J347" t="str">
            <v>YES</v>
          </cell>
          <cell r="K347" t="str">
            <v>NO</v>
          </cell>
          <cell r="L347" t="str">
            <v>NO</v>
          </cell>
          <cell r="M347" t="str">
            <v>YES</v>
          </cell>
          <cell r="N347" t="str">
            <v>NO</v>
          </cell>
        </row>
        <row r="348">
          <cell r="A348">
            <v>3440</v>
          </cell>
          <cell r="B348">
            <v>571</v>
          </cell>
          <cell r="C348">
            <v>7</v>
          </cell>
          <cell r="D348" t="str">
            <v>NO</v>
          </cell>
          <cell r="E348" t="str">
            <v>YES</v>
          </cell>
          <cell r="F348" t="str">
            <v>NO</v>
          </cell>
          <cell r="G348" t="str">
            <v>NO</v>
          </cell>
          <cell r="H348" t="str">
            <v>NO</v>
          </cell>
          <cell r="I348" t="str">
            <v>NO</v>
          </cell>
          <cell r="J348" t="str">
            <v>YES</v>
          </cell>
          <cell r="K348" t="str">
            <v>NO</v>
          </cell>
          <cell r="L348" t="str">
            <v>NO</v>
          </cell>
          <cell r="M348" t="str">
            <v>YES</v>
          </cell>
          <cell r="N348" t="str">
            <v>NO</v>
          </cell>
        </row>
        <row r="349">
          <cell r="A349">
            <v>3450</v>
          </cell>
          <cell r="B349">
            <v>571</v>
          </cell>
          <cell r="C349">
            <v>7</v>
          </cell>
          <cell r="D349" t="str">
            <v>NO</v>
          </cell>
          <cell r="E349" t="str">
            <v>YES</v>
          </cell>
          <cell r="F349" t="str">
            <v>NO</v>
          </cell>
          <cell r="G349" t="str">
            <v>NO</v>
          </cell>
          <cell r="H349" t="str">
            <v>NO</v>
          </cell>
          <cell r="I349" t="str">
            <v>NO</v>
          </cell>
          <cell r="J349" t="str">
            <v>YES</v>
          </cell>
          <cell r="K349" t="str">
            <v>NO</v>
          </cell>
          <cell r="L349" t="str">
            <v>NO</v>
          </cell>
          <cell r="M349" t="str">
            <v>YES</v>
          </cell>
          <cell r="N349" t="str">
            <v>NO</v>
          </cell>
        </row>
        <row r="350">
          <cell r="A350">
            <v>3460</v>
          </cell>
          <cell r="B350">
            <v>571</v>
          </cell>
          <cell r="C350">
            <v>7</v>
          </cell>
          <cell r="D350" t="str">
            <v>NO</v>
          </cell>
          <cell r="E350" t="str">
            <v>YES</v>
          </cell>
          <cell r="F350" t="str">
            <v>NO</v>
          </cell>
          <cell r="G350" t="str">
            <v>NO</v>
          </cell>
          <cell r="H350" t="str">
            <v>NO</v>
          </cell>
          <cell r="I350" t="str">
            <v>NO</v>
          </cell>
          <cell r="J350" t="str">
            <v>YES</v>
          </cell>
          <cell r="K350" t="str">
            <v>NO</v>
          </cell>
          <cell r="L350" t="str">
            <v>NO</v>
          </cell>
          <cell r="M350" t="str">
            <v>YES</v>
          </cell>
          <cell r="N350" t="str">
            <v>NO</v>
          </cell>
        </row>
        <row r="351">
          <cell r="A351">
            <v>3464</v>
          </cell>
          <cell r="B351">
            <v>571</v>
          </cell>
          <cell r="C351">
            <v>7</v>
          </cell>
          <cell r="D351" t="str">
            <v>NO</v>
          </cell>
          <cell r="E351" t="str">
            <v>YES</v>
          </cell>
          <cell r="F351" t="str">
            <v>NO</v>
          </cell>
          <cell r="G351" t="str">
            <v>NO</v>
          </cell>
          <cell r="H351" t="str">
            <v>NO</v>
          </cell>
          <cell r="I351" t="str">
            <v>NO</v>
          </cell>
          <cell r="J351" t="str">
            <v>YES</v>
          </cell>
          <cell r="K351" t="str">
            <v>NO</v>
          </cell>
          <cell r="L351" t="str">
            <v>NO</v>
          </cell>
          <cell r="M351" t="str">
            <v>YES</v>
          </cell>
          <cell r="N351" t="str">
            <v>NO</v>
          </cell>
        </row>
        <row r="352">
          <cell r="A352">
            <v>3465</v>
          </cell>
          <cell r="B352">
            <v>571</v>
          </cell>
          <cell r="C352">
            <v>7</v>
          </cell>
          <cell r="D352" t="str">
            <v>NO</v>
          </cell>
          <cell r="E352" t="str">
            <v>YES</v>
          </cell>
          <cell r="F352" t="str">
            <v>NO</v>
          </cell>
          <cell r="G352" t="str">
            <v>NO</v>
          </cell>
          <cell r="H352" t="str">
            <v>NO</v>
          </cell>
          <cell r="I352" t="str">
            <v>NO</v>
          </cell>
          <cell r="J352" t="str">
            <v>YES</v>
          </cell>
          <cell r="K352" t="str">
            <v>NO</v>
          </cell>
          <cell r="L352" t="str">
            <v>NO</v>
          </cell>
          <cell r="M352" t="str">
            <v>YES</v>
          </cell>
          <cell r="N352" t="str">
            <v>NO</v>
          </cell>
        </row>
        <row r="353">
          <cell r="A353">
            <v>3475</v>
          </cell>
          <cell r="B353">
            <v>571</v>
          </cell>
          <cell r="C353">
            <v>7</v>
          </cell>
          <cell r="D353" t="str">
            <v>NO</v>
          </cell>
          <cell r="E353" t="str">
            <v>YES</v>
          </cell>
          <cell r="F353" t="str">
            <v>NO</v>
          </cell>
          <cell r="G353" t="str">
            <v>NO</v>
          </cell>
          <cell r="H353" t="str">
            <v>NO</v>
          </cell>
          <cell r="I353" t="str">
            <v>NO</v>
          </cell>
          <cell r="J353" t="str">
            <v>YES</v>
          </cell>
          <cell r="K353" t="str">
            <v>NO</v>
          </cell>
          <cell r="L353" t="str">
            <v>NO</v>
          </cell>
          <cell r="M353" t="str">
            <v>YES</v>
          </cell>
          <cell r="N353" t="str">
            <v>NO</v>
          </cell>
        </row>
        <row r="354">
          <cell r="A354">
            <v>3500</v>
          </cell>
          <cell r="B354">
            <v>571</v>
          </cell>
          <cell r="C354">
            <v>7</v>
          </cell>
          <cell r="D354" t="str">
            <v>NO</v>
          </cell>
          <cell r="E354" t="str">
            <v>YES</v>
          </cell>
          <cell r="F354" t="str">
            <v>NO</v>
          </cell>
          <cell r="G354" t="str">
            <v>NO</v>
          </cell>
          <cell r="H354" t="str">
            <v>NO</v>
          </cell>
          <cell r="I354" t="str">
            <v>NO</v>
          </cell>
          <cell r="J354" t="str">
            <v>YES</v>
          </cell>
          <cell r="K354" t="str">
            <v>NO</v>
          </cell>
          <cell r="L354" t="str">
            <v>NO</v>
          </cell>
          <cell r="M354" t="str">
            <v>YES</v>
          </cell>
          <cell r="N354" t="str">
            <v>NO</v>
          </cell>
        </row>
        <row r="355">
          <cell r="A355">
            <v>3504</v>
          </cell>
          <cell r="B355">
            <v>571</v>
          </cell>
          <cell r="C355">
            <v>7</v>
          </cell>
          <cell r="D355" t="str">
            <v>NO</v>
          </cell>
          <cell r="E355" t="str">
            <v>YES</v>
          </cell>
          <cell r="F355" t="str">
            <v>NO</v>
          </cell>
          <cell r="G355" t="str">
            <v>NO</v>
          </cell>
          <cell r="H355" t="str">
            <v>NO</v>
          </cell>
          <cell r="I355" t="str">
            <v>NO</v>
          </cell>
          <cell r="J355" t="str">
            <v>YES</v>
          </cell>
          <cell r="K355" t="str">
            <v>NO</v>
          </cell>
          <cell r="L355" t="str">
            <v>NO</v>
          </cell>
          <cell r="M355" t="str">
            <v>YES</v>
          </cell>
          <cell r="N355" t="str">
            <v>NO</v>
          </cell>
        </row>
        <row r="356">
          <cell r="A356">
            <v>3505</v>
          </cell>
          <cell r="B356">
            <v>571</v>
          </cell>
          <cell r="C356">
            <v>7</v>
          </cell>
          <cell r="D356" t="str">
            <v>NO</v>
          </cell>
          <cell r="E356" t="str">
            <v>YES</v>
          </cell>
          <cell r="F356" t="str">
            <v>NO</v>
          </cell>
          <cell r="G356" t="str">
            <v>NO</v>
          </cell>
          <cell r="H356" t="str">
            <v>NO</v>
          </cell>
          <cell r="I356" t="str">
            <v>NO</v>
          </cell>
          <cell r="J356" t="str">
            <v>YES</v>
          </cell>
          <cell r="K356" t="str">
            <v>NO</v>
          </cell>
          <cell r="L356" t="str">
            <v>NO</v>
          </cell>
          <cell r="M356" t="str">
            <v>YES</v>
          </cell>
          <cell r="N356" t="str">
            <v>NO</v>
          </cell>
        </row>
        <row r="357">
          <cell r="A357">
            <v>3510</v>
          </cell>
          <cell r="B357">
            <v>571</v>
          </cell>
          <cell r="C357">
            <v>7</v>
          </cell>
          <cell r="D357" t="str">
            <v>NO</v>
          </cell>
          <cell r="E357" t="str">
            <v>YES</v>
          </cell>
          <cell r="F357" t="str">
            <v>NO</v>
          </cell>
          <cell r="G357" t="str">
            <v>NO</v>
          </cell>
          <cell r="H357" t="str">
            <v>NO</v>
          </cell>
          <cell r="I357" t="str">
            <v>NO</v>
          </cell>
          <cell r="J357" t="str">
            <v>YES</v>
          </cell>
          <cell r="K357" t="str">
            <v>NO</v>
          </cell>
          <cell r="L357" t="str">
            <v>NO</v>
          </cell>
          <cell r="M357" t="str">
            <v>YES</v>
          </cell>
          <cell r="N357" t="str">
            <v>NO</v>
          </cell>
        </row>
        <row r="358">
          <cell r="A358">
            <v>3514</v>
          </cell>
          <cell r="B358">
            <v>571</v>
          </cell>
          <cell r="C358">
            <v>7</v>
          </cell>
          <cell r="D358" t="str">
            <v>NO</v>
          </cell>
          <cell r="E358" t="str">
            <v>YES</v>
          </cell>
          <cell r="F358" t="str">
            <v>NO</v>
          </cell>
          <cell r="G358" t="str">
            <v>NO</v>
          </cell>
          <cell r="H358" t="str">
            <v>NO</v>
          </cell>
          <cell r="I358" t="str">
            <v>NO</v>
          </cell>
          <cell r="J358" t="str">
            <v>YES</v>
          </cell>
          <cell r="K358" t="str">
            <v>NO</v>
          </cell>
          <cell r="L358" t="str">
            <v>NO</v>
          </cell>
          <cell r="M358" t="str">
            <v>YES</v>
          </cell>
          <cell r="N358" t="str">
            <v>NO</v>
          </cell>
        </row>
        <row r="359">
          <cell r="A359">
            <v>3515</v>
          </cell>
          <cell r="B359">
            <v>571</v>
          </cell>
          <cell r="C359">
            <v>7</v>
          </cell>
          <cell r="D359" t="str">
            <v>NO</v>
          </cell>
          <cell r="E359" t="str">
            <v>YES</v>
          </cell>
          <cell r="F359" t="str">
            <v>NO</v>
          </cell>
          <cell r="G359" t="str">
            <v>NO</v>
          </cell>
          <cell r="H359" t="str">
            <v>NO</v>
          </cell>
          <cell r="I359" t="str">
            <v>NO</v>
          </cell>
          <cell r="J359" t="str">
            <v>YES</v>
          </cell>
          <cell r="K359" t="str">
            <v>NO</v>
          </cell>
          <cell r="L359" t="str">
            <v>NO</v>
          </cell>
          <cell r="M359" t="str">
            <v>YES</v>
          </cell>
          <cell r="N359" t="str">
            <v>NO</v>
          </cell>
        </row>
        <row r="360">
          <cell r="A360">
            <v>3519</v>
          </cell>
          <cell r="B360">
            <v>571</v>
          </cell>
          <cell r="C360">
            <v>7</v>
          </cell>
          <cell r="D360" t="str">
            <v>NO</v>
          </cell>
          <cell r="E360" t="str">
            <v>YES</v>
          </cell>
          <cell r="F360" t="str">
            <v>NO</v>
          </cell>
          <cell r="G360" t="str">
            <v>NO</v>
          </cell>
          <cell r="H360" t="str">
            <v>NO</v>
          </cell>
          <cell r="I360" t="str">
            <v>NO</v>
          </cell>
          <cell r="J360" t="str">
            <v>YES</v>
          </cell>
          <cell r="K360" t="str">
            <v>NO</v>
          </cell>
          <cell r="L360" t="str">
            <v>NO</v>
          </cell>
          <cell r="M360" t="str">
            <v>YES</v>
          </cell>
          <cell r="N360" t="str">
            <v>NO</v>
          </cell>
        </row>
        <row r="361">
          <cell r="A361">
            <v>3520</v>
          </cell>
          <cell r="B361">
            <v>571</v>
          </cell>
          <cell r="C361">
            <v>7</v>
          </cell>
          <cell r="D361" t="str">
            <v>NO</v>
          </cell>
          <cell r="E361" t="str">
            <v>YES</v>
          </cell>
          <cell r="F361" t="str">
            <v>NO</v>
          </cell>
          <cell r="G361" t="str">
            <v>NO</v>
          </cell>
          <cell r="H361" t="str">
            <v>NO</v>
          </cell>
          <cell r="I361" t="str">
            <v>NO</v>
          </cell>
          <cell r="J361" t="str">
            <v>YES</v>
          </cell>
          <cell r="K361" t="str">
            <v>NO</v>
          </cell>
          <cell r="L361" t="str">
            <v>NO</v>
          </cell>
          <cell r="M361" t="str">
            <v>YES</v>
          </cell>
          <cell r="N361" t="str">
            <v>NO</v>
          </cell>
        </row>
        <row r="362">
          <cell r="A362">
            <v>3525</v>
          </cell>
          <cell r="B362">
            <v>571</v>
          </cell>
          <cell r="C362">
            <v>7</v>
          </cell>
          <cell r="D362" t="str">
            <v>NO</v>
          </cell>
          <cell r="E362" t="str">
            <v>YES</v>
          </cell>
          <cell r="F362" t="str">
            <v>NO</v>
          </cell>
          <cell r="G362" t="str">
            <v>NO</v>
          </cell>
          <cell r="H362" t="str">
            <v>NO</v>
          </cell>
          <cell r="I362" t="str">
            <v>NO</v>
          </cell>
          <cell r="J362" t="str">
            <v>YES</v>
          </cell>
          <cell r="K362" t="str">
            <v>NO</v>
          </cell>
          <cell r="L362" t="str">
            <v>NO</v>
          </cell>
          <cell r="M362" t="str">
            <v>YES</v>
          </cell>
          <cell r="N362" t="str">
            <v>NO</v>
          </cell>
        </row>
        <row r="363">
          <cell r="A363">
            <v>3530</v>
          </cell>
          <cell r="B363">
            <v>571</v>
          </cell>
          <cell r="C363">
            <v>7</v>
          </cell>
          <cell r="D363" t="str">
            <v>NO</v>
          </cell>
          <cell r="E363" t="str">
            <v>YES</v>
          </cell>
          <cell r="F363" t="str">
            <v>NO</v>
          </cell>
          <cell r="G363" t="str">
            <v>NO</v>
          </cell>
          <cell r="H363" t="str">
            <v>NO</v>
          </cell>
          <cell r="I363" t="str">
            <v>NO</v>
          </cell>
          <cell r="J363" t="str">
            <v>YES</v>
          </cell>
          <cell r="K363" t="str">
            <v>NO</v>
          </cell>
          <cell r="L363" t="str">
            <v>NO</v>
          </cell>
          <cell r="M363" t="str">
            <v>YES</v>
          </cell>
          <cell r="N363" t="str">
            <v>NO</v>
          </cell>
        </row>
        <row r="364">
          <cell r="A364">
            <v>3531</v>
          </cell>
          <cell r="B364">
            <v>571</v>
          </cell>
          <cell r="C364">
            <v>7</v>
          </cell>
          <cell r="D364" t="str">
            <v>NO</v>
          </cell>
          <cell r="E364" t="str">
            <v>YES</v>
          </cell>
          <cell r="F364" t="str">
            <v>NO</v>
          </cell>
          <cell r="G364" t="str">
            <v>NO</v>
          </cell>
          <cell r="H364" t="str">
            <v>NO</v>
          </cell>
          <cell r="I364" t="str">
            <v>NO</v>
          </cell>
          <cell r="J364" t="str">
            <v>YES</v>
          </cell>
          <cell r="K364" t="str">
            <v>NO</v>
          </cell>
          <cell r="L364" t="str">
            <v>NO</v>
          </cell>
          <cell r="M364" t="str">
            <v>YES</v>
          </cell>
          <cell r="N364" t="str">
            <v>NO</v>
          </cell>
        </row>
        <row r="365">
          <cell r="A365">
            <v>3534</v>
          </cell>
          <cell r="B365">
            <v>571</v>
          </cell>
          <cell r="C365">
            <v>7</v>
          </cell>
          <cell r="D365" t="str">
            <v>NO</v>
          </cell>
          <cell r="E365" t="str">
            <v>YES</v>
          </cell>
          <cell r="F365" t="str">
            <v>NO</v>
          </cell>
          <cell r="G365" t="str">
            <v>NO</v>
          </cell>
          <cell r="H365" t="str">
            <v>NO</v>
          </cell>
          <cell r="I365" t="str">
            <v>NO</v>
          </cell>
          <cell r="J365" t="str">
            <v>YES</v>
          </cell>
          <cell r="K365" t="str">
            <v>NO</v>
          </cell>
          <cell r="L365" t="str">
            <v>NO</v>
          </cell>
          <cell r="M365" t="str">
            <v>YES</v>
          </cell>
          <cell r="N365" t="str">
            <v>NO</v>
          </cell>
        </row>
        <row r="366">
          <cell r="A366">
            <v>3550</v>
          </cell>
          <cell r="B366">
            <v>571</v>
          </cell>
          <cell r="C366">
            <v>7</v>
          </cell>
          <cell r="D366" t="str">
            <v>NO</v>
          </cell>
          <cell r="E366" t="str">
            <v>YES</v>
          </cell>
          <cell r="F366" t="str">
            <v>NO</v>
          </cell>
          <cell r="G366" t="str">
            <v>NO</v>
          </cell>
          <cell r="H366" t="str">
            <v>NO</v>
          </cell>
          <cell r="I366" t="str">
            <v>NO</v>
          </cell>
          <cell r="J366" t="str">
            <v>YES</v>
          </cell>
          <cell r="K366" t="str">
            <v>NO</v>
          </cell>
          <cell r="L366" t="str">
            <v>NO</v>
          </cell>
          <cell r="M366" t="str">
            <v>YES</v>
          </cell>
          <cell r="N366" t="str">
            <v>NO</v>
          </cell>
        </row>
        <row r="367">
          <cell r="A367">
            <v>3560</v>
          </cell>
          <cell r="B367">
            <v>571</v>
          </cell>
          <cell r="C367">
            <v>7</v>
          </cell>
          <cell r="D367" t="str">
            <v>NO</v>
          </cell>
          <cell r="E367" t="str">
            <v>YES</v>
          </cell>
          <cell r="F367" t="str">
            <v>NO</v>
          </cell>
          <cell r="G367" t="str">
            <v>NO</v>
          </cell>
          <cell r="H367" t="str">
            <v>NO</v>
          </cell>
          <cell r="I367" t="str">
            <v>NO</v>
          </cell>
          <cell r="J367" t="str">
            <v>YES</v>
          </cell>
          <cell r="K367" t="str">
            <v>NO</v>
          </cell>
          <cell r="L367" t="str">
            <v>NO</v>
          </cell>
          <cell r="M367" t="str">
            <v>YES</v>
          </cell>
          <cell r="N367" t="str">
            <v>NO</v>
          </cell>
        </row>
        <row r="368">
          <cell r="A368">
            <v>3570</v>
          </cell>
          <cell r="B368">
            <v>571</v>
          </cell>
          <cell r="C368">
            <v>7</v>
          </cell>
          <cell r="D368" t="str">
            <v>NO</v>
          </cell>
          <cell r="E368" t="str">
            <v>YES</v>
          </cell>
          <cell r="F368" t="str">
            <v>NO</v>
          </cell>
          <cell r="G368" t="str">
            <v>NO</v>
          </cell>
          <cell r="H368" t="str">
            <v>NO</v>
          </cell>
          <cell r="I368" t="str">
            <v>NO</v>
          </cell>
          <cell r="J368" t="str">
            <v>YES</v>
          </cell>
          <cell r="K368" t="str">
            <v>NO</v>
          </cell>
          <cell r="L368" t="str">
            <v>NO</v>
          </cell>
          <cell r="M368" t="str">
            <v>YES</v>
          </cell>
          <cell r="N368" t="str">
            <v>NO</v>
          </cell>
        </row>
        <row r="369">
          <cell r="A369">
            <v>3600</v>
          </cell>
          <cell r="B369">
            <v>571</v>
          </cell>
          <cell r="C369">
            <v>7</v>
          </cell>
          <cell r="D369" t="str">
            <v>NO</v>
          </cell>
          <cell r="E369" t="str">
            <v>YES</v>
          </cell>
          <cell r="F369" t="str">
            <v>NO</v>
          </cell>
          <cell r="G369" t="str">
            <v>NO</v>
          </cell>
          <cell r="H369" t="str">
            <v>NO</v>
          </cell>
          <cell r="I369" t="str">
            <v>NO</v>
          </cell>
          <cell r="J369" t="str">
            <v>YES</v>
          </cell>
          <cell r="K369" t="str">
            <v>NO</v>
          </cell>
          <cell r="L369" t="str">
            <v>NO</v>
          </cell>
          <cell r="M369" t="str">
            <v>YES</v>
          </cell>
          <cell r="N369" t="str">
            <v>NO</v>
          </cell>
        </row>
        <row r="370">
          <cell r="A370">
            <v>3610</v>
          </cell>
          <cell r="B370">
            <v>571</v>
          </cell>
          <cell r="C370">
            <v>7</v>
          </cell>
          <cell r="D370" t="str">
            <v>NO</v>
          </cell>
          <cell r="E370" t="str">
            <v>YES</v>
          </cell>
          <cell r="F370" t="str">
            <v>NO</v>
          </cell>
          <cell r="G370" t="str">
            <v>NO</v>
          </cell>
          <cell r="H370" t="str">
            <v>NO</v>
          </cell>
          <cell r="I370" t="str">
            <v>NO</v>
          </cell>
          <cell r="J370" t="str">
            <v>YES</v>
          </cell>
          <cell r="K370" t="str">
            <v>NO</v>
          </cell>
          <cell r="L370" t="str">
            <v>NO</v>
          </cell>
          <cell r="M370" t="str">
            <v>YES</v>
          </cell>
          <cell r="N370" t="str">
            <v>NO</v>
          </cell>
        </row>
        <row r="371">
          <cell r="A371">
            <v>3620</v>
          </cell>
          <cell r="B371">
            <v>571</v>
          </cell>
          <cell r="C371">
            <v>7</v>
          </cell>
          <cell r="D371" t="str">
            <v>NO</v>
          </cell>
          <cell r="E371" t="str">
            <v>YES</v>
          </cell>
          <cell r="F371" t="str">
            <v>NO</v>
          </cell>
          <cell r="G371" t="str">
            <v>NO</v>
          </cell>
          <cell r="H371" t="str">
            <v>NO</v>
          </cell>
          <cell r="I371" t="str">
            <v>NO</v>
          </cell>
          <cell r="J371" t="str">
            <v>YES</v>
          </cell>
          <cell r="K371" t="str">
            <v>NO</v>
          </cell>
          <cell r="L371" t="str">
            <v>NO</v>
          </cell>
          <cell r="M371" t="str">
            <v>YES</v>
          </cell>
          <cell r="N371" t="str">
            <v>NO</v>
          </cell>
        </row>
        <row r="372">
          <cell r="A372">
            <v>3624</v>
          </cell>
          <cell r="B372">
            <v>571</v>
          </cell>
          <cell r="C372">
            <v>7</v>
          </cell>
          <cell r="D372" t="str">
            <v>NO</v>
          </cell>
          <cell r="E372" t="str">
            <v>YES</v>
          </cell>
          <cell r="F372" t="str">
            <v>NO</v>
          </cell>
          <cell r="G372" t="str">
            <v>NO</v>
          </cell>
          <cell r="H372" t="str">
            <v>NO</v>
          </cell>
          <cell r="I372" t="str">
            <v>NO</v>
          </cell>
          <cell r="J372" t="str">
            <v>YES</v>
          </cell>
          <cell r="K372" t="str">
            <v>NO</v>
          </cell>
          <cell r="L372" t="str">
            <v>NO</v>
          </cell>
          <cell r="M372" t="str">
            <v>YES</v>
          </cell>
          <cell r="N372" t="str">
            <v>NO</v>
          </cell>
        </row>
        <row r="373">
          <cell r="A373">
            <v>3630</v>
          </cell>
          <cell r="B373">
            <v>571</v>
          </cell>
          <cell r="C373">
            <v>7</v>
          </cell>
          <cell r="D373" t="str">
            <v>NO</v>
          </cell>
          <cell r="E373" t="str">
            <v>YES</v>
          </cell>
          <cell r="F373" t="str">
            <v>NO</v>
          </cell>
          <cell r="G373" t="str">
            <v>NO</v>
          </cell>
          <cell r="H373" t="str">
            <v>NO</v>
          </cell>
          <cell r="I373" t="str">
            <v>NO</v>
          </cell>
          <cell r="J373" t="str">
            <v>YES</v>
          </cell>
          <cell r="K373" t="str">
            <v>NO</v>
          </cell>
          <cell r="L373" t="str">
            <v>NO</v>
          </cell>
          <cell r="M373" t="str">
            <v>YES</v>
          </cell>
          <cell r="N373" t="str">
            <v>NO</v>
          </cell>
        </row>
        <row r="374">
          <cell r="A374">
            <v>3640</v>
          </cell>
          <cell r="B374">
            <v>571</v>
          </cell>
          <cell r="C374">
            <v>7</v>
          </cell>
          <cell r="D374" t="str">
            <v>NO</v>
          </cell>
          <cell r="E374" t="str">
            <v>YES</v>
          </cell>
          <cell r="F374" t="str">
            <v>NO</v>
          </cell>
          <cell r="G374" t="str">
            <v>NO</v>
          </cell>
          <cell r="H374" t="str">
            <v>NO</v>
          </cell>
          <cell r="I374" t="str">
            <v>NO</v>
          </cell>
          <cell r="J374" t="str">
            <v>YES</v>
          </cell>
          <cell r="K374" t="str">
            <v>NO</v>
          </cell>
          <cell r="L374" t="str">
            <v>NO</v>
          </cell>
          <cell r="M374" t="str">
            <v>YES</v>
          </cell>
          <cell r="N374" t="str">
            <v>NO</v>
          </cell>
        </row>
        <row r="375">
          <cell r="A375">
            <v>3650</v>
          </cell>
          <cell r="B375">
            <v>571</v>
          </cell>
          <cell r="C375">
            <v>7</v>
          </cell>
          <cell r="D375" t="str">
            <v>NO</v>
          </cell>
          <cell r="E375" t="str">
            <v>YES</v>
          </cell>
          <cell r="F375" t="str">
            <v>NO</v>
          </cell>
          <cell r="G375" t="str">
            <v>NO</v>
          </cell>
          <cell r="H375" t="str">
            <v>NO</v>
          </cell>
          <cell r="I375" t="str">
            <v>NO</v>
          </cell>
          <cell r="J375" t="str">
            <v>YES</v>
          </cell>
          <cell r="K375" t="str">
            <v>NO</v>
          </cell>
          <cell r="L375" t="str">
            <v>NO</v>
          </cell>
          <cell r="M375" t="str">
            <v>YES</v>
          </cell>
          <cell r="N375" t="str">
            <v>NO</v>
          </cell>
        </row>
        <row r="376">
          <cell r="A376">
            <v>3660</v>
          </cell>
          <cell r="B376">
            <v>571</v>
          </cell>
          <cell r="C376">
            <v>7</v>
          </cell>
          <cell r="D376" t="str">
            <v>NO</v>
          </cell>
          <cell r="E376" t="str">
            <v>YES</v>
          </cell>
          <cell r="F376" t="str">
            <v>NO</v>
          </cell>
          <cell r="G376" t="str">
            <v>NO</v>
          </cell>
          <cell r="H376" t="str">
            <v>NO</v>
          </cell>
          <cell r="I376" t="str">
            <v>NO</v>
          </cell>
          <cell r="J376" t="str">
            <v>YES</v>
          </cell>
          <cell r="K376" t="str">
            <v>NO</v>
          </cell>
          <cell r="L376" t="str">
            <v>NO</v>
          </cell>
          <cell r="M376" t="str">
            <v>YES</v>
          </cell>
          <cell r="N376" t="str">
            <v>NO</v>
          </cell>
        </row>
        <row r="377">
          <cell r="A377">
            <v>3665</v>
          </cell>
          <cell r="B377">
            <v>571</v>
          </cell>
          <cell r="C377">
            <v>7</v>
          </cell>
          <cell r="D377" t="str">
            <v>NO</v>
          </cell>
          <cell r="E377" t="str">
            <v>YES</v>
          </cell>
          <cell r="F377" t="str">
            <v>NO</v>
          </cell>
          <cell r="G377" t="str">
            <v>NO</v>
          </cell>
          <cell r="H377" t="str">
            <v>NO</v>
          </cell>
          <cell r="I377" t="str">
            <v>NO</v>
          </cell>
          <cell r="J377" t="str">
            <v>YES</v>
          </cell>
          <cell r="K377" t="str">
            <v>NO</v>
          </cell>
          <cell r="L377" t="str">
            <v>NO</v>
          </cell>
          <cell r="M377" t="str">
            <v>YES</v>
          </cell>
          <cell r="N377" t="str">
            <v>NO</v>
          </cell>
        </row>
        <row r="378">
          <cell r="A378">
            <v>3670</v>
          </cell>
          <cell r="B378">
            <v>571</v>
          </cell>
          <cell r="C378">
            <v>7</v>
          </cell>
          <cell r="D378" t="str">
            <v>NO</v>
          </cell>
          <cell r="E378" t="str">
            <v>YES</v>
          </cell>
          <cell r="F378" t="str">
            <v>NO</v>
          </cell>
          <cell r="G378" t="str">
            <v>NO</v>
          </cell>
          <cell r="H378" t="str">
            <v>NO</v>
          </cell>
          <cell r="I378" t="str">
            <v>NO</v>
          </cell>
          <cell r="J378" t="str">
            <v>YES</v>
          </cell>
          <cell r="K378" t="str">
            <v>NO</v>
          </cell>
          <cell r="L378" t="str">
            <v>NO</v>
          </cell>
          <cell r="M378" t="str">
            <v>YES</v>
          </cell>
          <cell r="N378" t="str">
            <v>NO</v>
          </cell>
        </row>
        <row r="379">
          <cell r="A379">
            <v>3680</v>
          </cell>
          <cell r="B379">
            <v>571</v>
          </cell>
          <cell r="C379">
            <v>7</v>
          </cell>
          <cell r="D379" t="str">
            <v>NO</v>
          </cell>
          <cell r="E379" t="str">
            <v>YES</v>
          </cell>
          <cell r="F379" t="str">
            <v>NO</v>
          </cell>
          <cell r="G379" t="str">
            <v>NO</v>
          </cell>
          <cell r="H379" t="str">
            <v>NO</v>
          </cell>
          <cell r="I379" t="str">
            <v>NO</v>
          </cell>
          <cell r="J379" t="str">
            <v>YES</v>
          </cell>
          <cell r="K379" t="str">
            <v>NO</v>
          </cell>
          <cell r="L379" t="str">
            <v>NO</v>
          </cell>
          <cell r="M379" t="str">
            <v>YES</v>
          </cell>
          <cell r="N379" t="str">
            <v>NO</v>
          </cell>
        </row>
        <row r="380">
          <cell r="A380">
            <v>3684</v>
          </cell>
          <cell r="B380">
            <v>571</v>
          </cell>
          <cell r="C380">
            <v>7</v>
          </cell>
          <cell r="D380" t="str">
            <v>NO</v>
          </cell>
          <cell r="E380" t="str">
            <v>YES</v>
          </cell>
          <cell r="F380" t="str">
            <v>NO</v>
          </cell>
          <cell r="G380" t="str">
            <v>NO</v>
          </cell>
          <cell r="H380" t="str">
            <v>NO</v>
          </cell>
          <cell r="I380" t="str">
            <v>NO</v>
          </cell>
          <cell r="J380" t="str">
            <v>YES</v>
          </cell>
          <cell r="K380" t="str">
            <v>NO</v>
          </cell>
          <cell r="L380" t="str">
            <v>NO</v>
          </cell>
          <cell r="M380" t="str">
            <v>YES</v>
          </cell>
          <cell r="N380" t="str">
            <v>NO</v>
          </cell>
        </row>
        <row r="381">
          <cell r="A381">
            <v>3700</v>
          </cell>
          <cell r="B381">
            <v>571</v>
          </cell>
          <cell r="C381">
            <v>7</v>
          </cell>
          <cell r="D381" t="str">
            <v>NO</v>
          </cell>
          <cell r="E381" t="str">
            <v>YES</v>
          </cell>
          <cell r="F381" t="str">
            <v>NO</v>
          </cell>
          <cell r="G381" t="str">
            <v>NO</v>
          </cell>
          <cell r="H381" t="str">
            <v>NO</v>
          </cell>
          <cell r="I381" t="str">
            <v>NO</v>
          </cell>
          <cell r="J381" t="str">
            <v>YES</v>
          </cell>
          <cell r="K381" t="str">
            <v>NO</v>
          </cell>
          <cell r="L381" t="str">
            <v>NO</v>
          </cell>
          <cell r="M381" t="str">
            <v>YES</v>
          </cell>
          <cell r="N381" t="str">
            <v>NO</v>
          </cell>
        </row>
        <row r="382">
          <cell r="A382">
            <v>3701</v>
          </cell>
          <cell r="B382">
            <v>571</v>
          </cell>
          <cell r="C382">
            <v>7</v>
          </cell>
          <cell r="D382" t="str">
            <v>NO</v>
          </cell>
          <cell r="E382" t="str">
            <v>YES</v>
          </cell>
          <cell r="F382" t="str">
            <v>NO</v>
          </cell>
          <cell r="G382" t="str">
            <v>NO</v>
          </cell>
          <cell r="H382" t="str">
            <v>NO</v>
          </cell>
          <cell r="I382" t="str">
            <v>NO</v>
          </cell>
          <cell r="J382" t="str">
            <v>YES</v>
          </cell>
          <cell r="K382" t="str">
            <v>NO</v>
          </cell>
          <cell r="L382" t="str">
            <v>NO</v>
          </cell>
          <cell r="M382" t="str">
            <v>YES</v>
          </cell>
          <cell r="N382" t="str">
            <v>NO</v>
          </cell>
        </row>
        <row r="383">
          <cell r="A383">
            <v>3720</v>
          </cell>
          <cell r="B383">
            <v>571</v>
          </cell>
          <cell r="C383">
            <v>7</v>
          </cell>
          <cell r="D383" t="str">
            <v>NO</v>
          </cell>
          <cell r="E383" t="str">
            <v>YES</v>
          </cell>
          <cell r="F383" t="str">
            <v>NO</v>
          </cell>
          <cell r="G383" t="str">
            <v>NO</v>
          </cell>
          <cell r="H383" t="str">
            <v>NO</v>
          </cell>
          <cell r="I383" t="str">
            <v>NO</v>
          </cell>
          <cell r="J383" t="str">
            <v>YES</v>
          </cell>
          <cell r="K383" t="str">
            <v>NO</v>
          </cell>
          <cell r="L383" t="str">
            <v>NO</v>
          </cell>
          <cell r="M383" t="str">
            <v>YES</v>
          </cell>
          <cell r="N383" t="str">
            <v>NO</v>
          </cell>
        </row>
        <row r="384">
          <cell r="A384">
            <v>3721</v>
          </cell>
          <cell r="B384">
            <v>571</v>
          </cell>
          <cell r="C384">
            <v>7</v>
          </cell>
          <cell r="D384" t="str">
            <v>NO</v>
          </cell>
          <cell r="E384" t="str">
            <v>YES</v>
          </cell>
          <cell r="F384" t="str">
            <v>NO</v>
          </cell>
          <cell r="G384" t="str">
            <v>NO</v>
          </cell>
          <cell r="H384" t="str">
            <v>NO</v>
          </cell>
          <cell r="I384" t="str">
            <v>NO</v>
          </cell>
          <cell r="J384" t="str">
            <v>YES</v>
          </cell>
          <cell r="K384" t="str">
            <v>NO</v>
          </cell>
          <cell r="L384" t="str">
            <v>NO</v>
          </cell>
          <cell r="M384" t="str">
            <v>YES</v>
          </cell>
          <cell r="N384" t="str">
            <v>NO</v>
          </cell>
        </row>
        <row r="385">
          <cell r="A385">
            <v>3730</v>
          </cell>
          <cell r="B385">
            <v>571</v>
          </cell>
          <cell r="C385">
            <v>7</v>
          </cell>
          <cell r="D385" t="str">
            <v>NO</v>
          </cell>
          <cell r="E385" t="str">
            <v>YES</v>
          </cell>
          <cell r="F385" t="str">
            <v>NO</v>
          </cell>
          <cell r="G385" t="str">
            <v>NO</v>
          </cell>
          <cell r="H385" t="str">
            <v>NO</v>
          </cell>
          <cell r="I385" t="str">
            <v>NO</v>
          </cell>
          <cell r="J385" t="str">
            <v>YES</v>
          </cell>
          <cell r="K385" t="str">
            <v>NO</v>
          </cell>
          <cell r="L385" t="str">
            <v>NO</v>
          </cell>
          <cell r="M385" t="str">
            <v>YES</v>
          </cell>
          <cell r="N385" t="str">
            <v>NO</v>
          </cell>
        </row>
        <row r="386">
          <cell r="A386">
            <v>3740</v>
          </cell>
          <cell r="B386">
            <v>571</v>
          </cell>
          <cell r="C386">
            <v>7</v>
          </cell>
          <cell r="D386" t="str">
            <v>NO</v>
          </cell>
          <cell r="E386" t="str">
            <v>YES</v>
          </cell>
          <cell r="F386" t="str">
            <v>NO</v>
          </cell>
          <cell r="G386" t="str">
            <v>NO</v>
          </cell>
          <cell r="H386" t="str">
            <v>NO</v>
          </cell>
          <cell r="I386" t="str">
            <v>NO</v>
          </cell>
          <cell r="J386" t="str">
            <v>YES</v>
          </cell>
          <cell r="K386" t="str">
            <v>NO</v>
          </cell>
          <cell r="L386" t="str">
            <v>NO</v>
          </cell>
          <cell r="M386" t="str">
            <v>YES</v>
          </cell>
          <cell r="N386" t="str">
            <v>NO</v>
          </cell>
        </row>
        <row r="387">
          <cell r="A387">
            <v>3744</v>
          </cell>
          <cell r="B387">
            <v>571</v>
          </cell>
          <cell r="C387">
            <v>7</v>
          </cell>
          <cell r="D387" t="str">
            <v>NO</v>
          </cell>
          <cell r="E387" t="str">
            <v>YES</v>
          </cell>
          <cell r="F387" t="str">
            <v>NO</v>
          </cell>
          <cell r="G387" t="str">
            <v>NO</v>
          </cell>
          <cell r="H387" t="str">
            <v>NO</v>
          </cell>
          <cell r="I387" t="str">
            <v>NO</v>
          </cell>
          <cell r="J387" t="str">
            <v>YES</v>
          </cell>
          <cell r="K387" t="str">
            <v>NO</v>
          </cell>
          <cell r="L387" t="str">
            <v>NO</v>
          </cell>
          <cell r="M387" t="str">
            <v>YES</v>
          </cell>
          <cell r="N387" t="str">
            <v>NO</v>
          </cell>
        </row>
        <row r="388">
          <cell r="A388">
            <v>3750</v>
          </cell>
          <cell r="B388">
            <v>571</v>
          </cell>
          <cell r="C388">
            <v>7</v>
          </cell>
          <cell r="D388" t="str">
            <v>NO</v>
          </cell>
          <cell r="E388" t="str">
            <v>YES</v>
          </cell>
          <cell r="F388" t="str">
            <v>NO</v>
          </cell>
          <cell r="G388" t="str">
            <v>NO</v>
          </cell>
          <cell r="H388" t="str">
            <v>NO</v>
          </cell>
          <cell r="I388" t="str">
            <v>NO</v>
          </cell>
          <cell r="J388" t="str">
            <v>YES</v>
          </cell>
          <cell r="K388" t="str">
            <v>NO</v>
          </cell>
          <cell r="L388" t="str">
            <v>NO</v>
          </cell>
          <cell r="M388" t="str">
            <v>YES</v>
          </cell>
          <cell r="N388" t="str">
            <v>NO</v>
          </cell>
        </row>
        <row r="389">
          <cell r="A389">
            <v>3754</v>
          </cell>
          <cell r="B389">
            <v>571</v>
          </cell>
          <cell r="C389">
            <v>7</v>
          </cell>
          <cell r="D389" t="str">
            <v>NO</v>
          </cell>
          <cell r="E389" t="str">
            <v>YES</v>
          </cell>
          <cell r="F389" t="str">
            <v>NO</v>
          </cell>
          <cell r="G389" t="str">
            <v>NO</v>
          </cell>
          <cell r="H389" t="str">
            <v>NO</v>
          </cell>
          <cell r="I389" t="str">
            <v>NO</v>
          </cell>
          <cell r="J389" t="str">
            <v>YES</v>
          </cell>
          <cell r="K389" t="str">
            <v>NO</v>
          </cell>
          <cell r="L389" t="str">
            <v>NO</v>
          </cell>
          <cell r="M389" t="str">
            <v>YES</v>
          </cell>
          <cell r="N389" t="str">
            <v>NO</v>
          </cell>
        </row>
        <row r="390">
          <cell r="A390">
            <v>3770</v>
          </cell>
          <cell r="B390">
            <v>571</v>
          </cell>
          <cell r="C390">
            <v>7</v>
          </cell>
          <cell r="D390" t="str">
            <v>NO</v>
          </cell>
          <cell r="E390" t="str">
            <v>YES</v>
          </cell>
          <cell r="F390" t="str">
            <v>NO</v>
          </cell>
          <cell r="G390" t="str">
            <v>NO</v>
          </cell>
          <cell r="H390" t="str">
            <v>NO</v>
          </cell>
          <cell r="I390" t="str">
            <v>NO</v>
          </cell>
          <cell r="J390" t="str">
            <v>YES</v>
          </cell>
          <cell r="K390" t="str">
            <v>NO</v>
          </cell>
          <cell r="L390" t="str">
            <v>NO</v>
          </cell>
          <cell r="M390" t="str">
            <v>YES</v>
          </cell>
          <cell r="N390" t="str">
            <v>NO</v>
          </cell>
        </row>
        <row r="391">
          <cell r="A391">
            <v>3780</v>
          </cell>
          <cell r="B391">
            <v>571</v>
          </cell>
          <cell r="C391">
            <v>7</v>
          </cell>
          <cell r="D391" t="str">
            <v>NO</v>
          </cell>
          <cell r="E391" t="str">
            <v>YES</v>
          </cell>
          <cell r="F391" t="str">
            <v>NO</v>
          </cell>
          <cell r="G391" t="str">
            <v>NO</v>
          </cell>
          <cell r="H391" t="str">
            <v>NO</v>
          </cell>
          <cell r="I391" t="str">
            <v>NO</v>
          </cell>
          <cell r="J391" t="str">
            <v>YES</v>
          </cell>
          <cell r="K391" t="str">
            <v>NO</v>
          </cell>
          <cell r="L391" t="str">
            <v>NO</v>
          </cell>
          <cell r="M391" t="str">
            <v>YES</v>
          </cell>
          <cell r="N391" t="str">
            <v>NO</v>
          </cell>
        </row>
        <row r="392">
          <cell r="A392">
            <v>3800</v>
          </cell>
          <cell r="B392">
            <v>571</v>
          </cell>
          <cell r="C392">
            <v>7</v>
          </cell>
          <cell r="D392" t="str">
            <v>NO</v>
          </cell>
          <cell r="E392" t="str">
            <v>YES</v>
          </cell>
          <cell r="F392" t="str">
            <v>NO</v>
          </cell>
          <cell r="G392" t="str">
            <v>NO</v>
          </cell>
          <cell r="H392" t="str">
            <v>NO</v>
          </cell>
          <cell r="I392" t="str">
            <v>NO</v>
          </cell>
          <cell r="J392" t="str">
            <v>YES</v>
          </cell>
          <cell r="K392" t="str">
            <v>NO</v>
          </cell>
          <cell r="L392" t="str">
            <v>NO</v>
          </cell>
          <cell r="M392" t="str">
            <v>YES</v>
          </cell>
          <cell r="N392" t="str">
            <v>NO</v>
          </cell>
        </row>
        <row r="393">
          <cell r="A393">
            <v>3802</v>
          </cell>
          <cell r="B393">
            <v>571</v>
          </cell>
          <cell r="C393">
            <v>7</v>
          </cell>
          <cell r="D393" t="str">
            <v>NO</v>
          </cell>
          <cell r="E393" t="str">
            <v>YES</v>
          </cell>
          <cell r="F393" t="str">
            <v>NO</v>
          </cell>
          <cell r="G393" t="str">
            <v>NO</v>
          </cell>
          <cell r="H393" t="str">
            <v>NO</v>
          </cell>
          <cell r="I393" t="str">
            <v>NO</v>
          </cell>
          <cell r="J393" t="str">
            <v>YES</v>
          </cell>
          <cell r="K393" t="str">
            <v>NO</v>
          </cell>
          <cell r="L393" t="str">
            <v>NO</v>
          </cell>
          <cell r="M393" t="str">
            <v>YES</v>
          </cell>
          <cell r="N393" t="str">
            <v>NO</v>
          </cell>
        </row>
        <row r="394">
          <cell r="A394">
            <v>3804</v>
          </cell>
          <cell r="B394">
            <v>571</v>
          </cell>
          <cell r="C394">
            <v>7</v>
          </cell>
          <cell r="D394" t="str">
            <v>NO</v>
          </cell>
          <cell r="E394" t="str">
            <v>YES</v>
          </cell>
          <cell r="F394" t="str">
            <v>NO</v>
          </cell>
          <cell r="G394" t="str">
            <v>NO</v>
          </cell>
          <cell r="H394" t="str">
            <v>NO</v>
          </cell>
          <cell r="I394" t="str">
            <v>NO</v>
          </cell>
          <cell r="J394" t="str">
            <v>YES</v>
          </cell>
          <cell r="K394" t="str">
            <v>NO</v>
          </cell>
          <cell r="L394" t="str">
            <v>NO</v>
          </cell>
          <cell r="M394" t="str">
            <v>YES</v>
          </cell>
          <cell r="N394" t="str">
            <v>NO</v>
          </cell>
        </row>
        <row r="395">
          <cell r="A395">
            <v>3806</v>
          </cell>
          <cell r="B395">
            <v>571</v>
          </cell>
          <cell r="C395">
            <v>7</v>
          </cell>
          <cell r="D395" t="str">
            <v>NO</v>
          </cell>
          <cell r="E395" t="str">
            <v>YES</v>
          </cell>
          <cell r="F395" t="str">
            <v>NO</v>
          </cell>
          <cell r="G395" t="str">
            <v>NO</v>
          </cell>
          <cell r="H395" t="str">
            <v>NO</v>
          </cell>
          <cell r="I395" t="str">
            <v>NO</v>
          </cell>
          <cell r="J395" t="str">
            <v>YES</v>
          </cell>
          <cell r="K395" t="str">
            <v>NO</v>
          </cell>
          <cell r="L395" t="str">
            <v>NO</v>
          </cell>
          <cell r="M395" t="str">
            <v>YES</v>
          </cell>
          <cell r="N395" t="str">
            <v>NO</v>
          </cell>
        </row>
        <row r="396">
          <cell r="A396">
            <v>3808</v>
          </cell>
          <cell r="B396">
            <v>571</v>
          </cell>
          <cell r="C396">
            <v>7</v>
          </cell>
          <cell r="D396" t="str">
            <v>NO</v>
          </cell>
          <cell r="E396" t="str">
            <v>YES</v>
          </cell>
          <cell r="F396" t="str">
            <v>NO</v>
          </cell>
          <cell r="G396" t="str">
            <v>NO</v>
          </cell>
          <cell r="H396" t="str">
            <v>NO</v>
          </cell>
          <cell r="I396" t="str">
            <v>NO</v>
          </cell>
          <cell r="J396" t="str">
            <v>YES</v>
          </cell>
          <cell r="K396" t="str">
            <v>NO</v>
          </cell>
          <cell r="L396" t="str">
            <v>NO</v>
          </cell>
          <cell r="M396" t="str">
            <v>YES</v>
          </cell>
          <cell r="N396" t="str">
            <v>NO</v>
          </cell>
        </row>
        <row r="397">
          <cell r="A397">
            <v>3810</v>
          </cell>
          <cell r="B397">
            <v>571</v>
          </cell>
          <cell r="C397">
            <v>7</v>
          </cell>
          <cell r="D397" t="str">
            <v>NO</v>
          </cell>
          <cell r="E397" t="str">
            <v>YES</v>
          </cell>
          <cell r="F397" t="str">
            <v>NO</v>
          </cell>
          <cell r="G397" t="str">
            <v>NO</v>
          </cell>
          <cell r="H397" t="str">
            <v>NO</v>
          </cell>
          <cell r="I397" t="str">
            <v>NO</v>
          </cell>
          <cell r="J397" t="str">
            <v>YES</v>
          </cell>
          <cell r="K397" t="str">
            <v>NO</v>
          </cell>
          <cell r="L397" t="str">
            <v>NO</v>
          </cell>
          <cell r="M397" t="str">
            <v>YES</v>
          </cell>
          <cell r="N397" t="str">
            <v>NO</v>
          </cell>
        </row>
        <row r="398">
          <cell r="A398">
            <v>3814</v>
          </cell>
          <cell r="B398">
            <v>571</v>
          </cell>
          <cell r="C398">
            <v>7</v>
          </cell>
          <cell r="D398" t="str">
            <v>NO</v>
          </cell>
          <cell r="E398" t="str">
            <v>YES</v>
          </cell>
          <cell r="F398" t="str">
            <v>NO</v>
          </cell>
          <cell r="G398" t="str">
            <v>NO</v>
          </cell>
          <cell r="H398" t="str">
            <v>NO</v>
          </cell>
          <cell r="I398" t="str">
            <v>NO</v>
          </cell>
          <cell r="J398" t="str">
            <v>YES</v>
          </cell>
          <cell r="K398" t="str">
            <v>NO</v>
          </cell>
          <cell r="L398" t="str">
            <v>NO</v>
          </cell>
          <cell r="M398" t="str">
            <v>YES</v>
          </cell>
          <cell r="N398" t="str">
            <v>NO</v>
          </cell>
        </row>
        <row r="399">
          <cell r="A399">
            <v>3830</v>
          </cell>
          <cell r="B399">
            <v>571</v>
          </cell>
          <cell r="C399">
            <v>7</v>
          </cell>
          <cell r="D399" t="str">
            <v>NO</v>
          </cell>
          <cell r="E399" t="str">
            <v>YES</v>
          </cell>
          <cell r="F399" t="str">
            <v>NO</v>
          </cell>
          <cell r="G399" t="str">
            <v>NO</v>
          </cell>
          <cell r="H399" t="str">
            <v>NO</v>
          </cell>
          <cell r="I399" t="str">
            <v>NO</v>
          </cell>
          <cell r="J399" t="str">
            <v>YES</v>
          </cell>
          <cell r="K399" t="str">
            <v>NO</v>
          </cell>
          <cell r="L399" t="str">
            <v>NO</v>
          </cell>
          <cell r="M399" t="str">
            <v>YES</v>
          </cell>
          <cell r="N399" t="str">
            <v>NO</v>
          </cell>
        </row>
        <row r="400">
          <cell r="A400">
            <v>3831</v>
          </cell>
          <cell r="B400">
            <v>571</v>
          </cell>
          <cell r="C400">
            <v>7</v>
          </cell>
          <cell r="D400" t="str">
            <v>NO</v>
          </cell>
          <cell r="E400" t="str">
            <v>YES</v>
          </cell>
          <cell r="F400" t="str">
            <v>NO</v>
          </cell>
          <cell r="G400" t="str">
            <v>NO</v>
          </cell>
          <cell r="H400" t="str">
            <v>NO</v>
          </cell>
          <cell r="I400" t="str">
            <v>NO</v>
          </cell>
          <cell r="J400" t="str">
            <v>YES</v>
          </cell>
          <cell r="K400" t="str">
            <v>NO</v>
          </cell>
          <cell r="L400" t="str">
            <v>NO</v>
          </cell>
          <cell r="M400" t="str">
            <v>YES</v>
          </cell>
          <cell r="N400" t="str">
            <v>NO</v>
          </cell>
        </row>
        <row r="401">
          <cell r="A401">
            <v>3840</v>
          </cell>
          <cell r="B401">
            <v>571</v>
          </cell>
          <cell r="C401">
            <v>7</v>
          </cell>
          <cell r="D401" t="str">
            <v>NO</v>
          </cell>
          <cell r="E401" t="str">
            <v>YES</v>
          </cell>
          <cell r="F401" t="str">
            <v>NO</v>
          </cell>
          <cell r="G401" t="str">
            <v>NO</v>
          </cell>
          <cell r="H401" t="str">
            <v>NO</v>
          </cell>
          <cell r="I401" t="str">
            <v>NO</v>
          </cell>
          <cell r="J401" t="str">
            <v>YES</v>
          </cell>
          <cell r="K401" t="str">
            <v>NO</v>
          </cell>
          <cell r="L401" t="str">
            <v>NO</v>
          </cell>
          <cell r="M401" t="str">
            <v>YES</v>
          </cell>
          <cell r="N401" t="str">
            <v>NO</v>
          </cell>
        </row>
        <row r="402">
          <cell r="A402">
            <v>3850</v>
          </cell>
          <cell r="B402">
            <v>571</v>
          </cell>
          <cell r="C402">
            <v>7</v>
          </cell>
          <cell r="D402" t="str">
            <v>NO</v>
          </cell>
          <cell r="E402" t="str">
            <v>YES</v>
          </cell>
          <cell r="F402" t="str">
            <v>NO</v>
          </cell>
          <cell r="G402" t="str">
            <v>NO</v>
          </cell>
          <cell r="H402" t="str">
            <v>NO</v>
          </cell>
          <cell r="I402" t="str">
            <v>NO</v>
          </cell>
          <cell r="J402" t="str">
            <v>YES</v>
          </cell>
          <cell r="K402" t="str">
            <v>NO</v>
          </cell>
          <cell r="L402" t="str">
            <v>NO</v>
          </cell>
          <cell r="M402" t="str">
            <v>YES</v>
          </cell>
          <cell r="N402" t="str">
            <v>NO</v>
          </cell>
        </row>
        <row r="403">
          <cell r="A403">
            <v>3860</v>
          </cell>
          <cell r="B403">
            <v>571</v>
          </cell>
          <cell r="C403">
            <v>6</v>
          </cell>
          <cell r="D403" t="str">
            <v>YES</v>
          </cell>
          <cell r="E403" t="str">
            <v>NO</v>
          </cell>
          <cell r="F403" t="str">
            <v>YES</v>
          </cell>
          <cell r="G403" t="str">
            <v>NO</v>
          </cell>
          <cell r="H403" t="str">
            <v>YES</v>
          </cell>
          <cell r="I403" t="str">
            <v>YES</v>
          </cell>
          <cell r="J403" t="str">
            <v>NO</v>
          </cell>
          <cell r="K403" t="str">
            <v>YES</v>
          </cell>
          <cell r="L403" t="str">
            <v>YES</v>
          </cell>
          <cell r="M403" t="str">
            <v>NO</v>
          </cell>
          <cell r="N403" t="str">
            <v>NO</v>
          </cell>
        </row>
        <row r="404">
          <cell r="A404">
            <v>3864</v>
          </cell>
          <cell r="B404">
            <v>571</v>
          </cell>
          <cell r="C404">
            <v>6</v>
          </cell>
          <cell r="D404" t="str">
            <v>YES</v>
          </cell>
          <cell r="E404" t="str">
            <v>NO</v>
          </cell>
          <cell r="F404" t="str">
            <v>YES</v>
          </cell>
          <cell r="G404" t="str">
            <v>NO</v>
          </cell>
          <cell r="H404" t="str">
            <v>YES</v>
          </cell>
          <cell r="I404" t="str">
            <v>YES</v>
          </cell>
          <cell r="J404" t="str">
            <v>NO</v>
          </cell>
          <cell r="K404" t="str">
            <v>YES</v>
          </cell>
          <cell r="L404" t="str">
            <v>YES</v>
          </cell>
          <cell r="M404" t="str">
            <v>NO</v>
          </cell>
          <cell r="N404" t="str">
            <v>NO</v>
          </cell>
        </row>
        <row r="405">
          <cell r="A405">
            <v>3865</v>
          </cell>
          <cell r="B405">
            <v>571</v>
          </cell>
          <cell r="C405">
            <v>6</v>
          </cell>
          <cell r="D405" t="str">
            <v>YES</v>
          </cell>
          <cell r="E405" t="str">
            <v>NO</v>
          </cell>
          <cell r="F405" t="str">
            <v>YES</v>
          </cell>
          <cell r="G405" t="str">
            <v>NO</v>
          </cell>
          <cell r="H405" t="str">
            <v>YES</v>
          </cell>
          <cell r="I405" t="str">
            <v>YES</v>
          </cell>
          <cell r="J405" t="str">
            <v>NO</v>
          </cell>
          <cell r="K405" t="str">
            <v>YES</v>
          </cell>
          <cell r="L405" t="str">
            <v>YES</v>
          </cell>
          <cell r="M405" t="str">
            <v>NO</v>
          </cell>
          <cell r="N405" t="str">
            <v>NO</v>
          </cell>
        </row>
        <row r="406">
          <cell r="A406">
            <v>3870</v>
          </cell>
          <cell r="B406">
            <v>571</v>
          </cell>
          <cell r="C406">
            <v>6</v>
          </cell>
          <cell r="D406" t="str">
            <v>YES</v>
          </cell>
          <cell r="E406" t="str">
            <v>NO</v>
          </cell>
          <cell r="F406" t="str">
            <v>YES</v>
          </cell>
          <cell r="G406" t="str">
            <v>NO</v>
          </cell>
          <cell r="H406" t="str">
            <v>YES</v>
          </cell>
          <cell r="I406" t="str">
            <v>YES</v>
          </cell>
          <cell r="J406" t="str">
            <v>NO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NO</v>
          </cell>
        </row>
        <row r="407">
          <cell r="A407">
            <v>3880</v>
          </cell>
          <cell r="B407">
            <v>571</v>
          </cell>
          <cell r="C407">
            <v>6</v>
          </cell>
          <cell r="D407" t="str">
            <v>YES</v>
          </cell>
          <cell r="E407" t="str">
            <v>NO</v>
          </cell>
          <cell r="F407" t="str">
            <v>YES</v>
          </cell>
          <cell r="G407" t="str">
            <v>NO</v>
          </cell>
          <cell r="H407" t="str">
            <v>YES</v>
          </cell>
          <cell r="I407" t="str">
            <v>YES</v>
          </cell>
          <cell r="J407" t="str">
            <v>NO</v>
          </cell>
          <cell r="K407" t="str">
            <v>YES</v>
          </cell>
          <cell r="L407" t="str">
            <v>YES</v>
          </cell>
          <cell r="M407" t="str">
            <v>NO</v>
          </cell>
          <cell r="N407" t="str">
            <v>NO</v>
          </cell>
        </row>
        <row r="408">
          <cell r="A408">
            <v>3885</v>
          </cell>
          <cell r="B408">
            <v>571</v>
          </cell>
          <cell r="C408">
            <v>6</v>
          </cell>
          <cell r="D408" t="str">
            <v>YES</v>
          </cell>
          <cell r="E408" t="str">
            <v>NO</v>
          </cell>
          <cell r="F408" t="str">
            <v>YES</v>
          </cell>
          <cell r="G408" t="str">
            <v>NO</v>
          </cell>
          <cell r="H408" t="str">
            <v>YES</v>
          </cell>
          <cell r="I408" t="str">
            <v>YES</v>
          </cell>
          <cell r="J408" t="str">
            <v>NO</v>
          </cell>
          <cell r="K408" t="str">
            <v>YES</v>
          </cell>
          <cell r="L408" t="str">
            <v>YES</v>
          </cell>
          <cell r="M408" t="str">
            <v>NO</v>
          </cell>
          <cell r="N408" t="str">
            <v>NO</v>
          </cell>
        </row>
        <row r="409">
          <cell r="A409">
            <v>3887</v>
          </cell>
          <cell r="B409">
            <v>571</v>
          </cell>
          <cell r="C409">
            <v>6</v>
          </cell>
          <cell r="D409" t="str">
            <v>YES</v>
          </cell>
          <cell r="E409" t="str">
            <v>NO</v>
          </cell>
          <cell r="F409" t="str">
            <v>YES</v>
          </cell>
          <cell r="G409" t="str">
            <v>NO</v>
          </cell>
          <cell r="H409" t="str">
            <v>YES</v>
          </cell>
          <cell r="I409" t="str">
            <v>YES</v>
          </cell>
          <cell r="J409" t="str">
            <v>NO</v>
          </cell>
          <cell r="K409" t="str">
            <v>YES</v>
          </cell>
          <cell r="L409" t="str">
            <v>YES</v>
          </cell>
          <cell r="M409" t="str">
            <v>NO</v>
          </cell>
          <cell r="N409" t="str">
            <v>NO</v>
          </cell>
        </row>
        <row r="410">
          <cell r="A410">
            <v>4000</v>
          </cell>
          <cell r="B410">
            <v>571</v>
          </cell>
          <cell r="C410">
            <v>6</v>
          </cell>
          <cell r="D410" t="str">
            <v>YES</v>
          </cell>
          <cell r="E410" t="str">
            <v>NO</v>
          </cell>
          <cell r="F410" t="str">
            <v>YES</v>
          </cell>
          <cell r="G410" t="str">
            <v>NO</v>
          </cell>
          <cell r="H410" t="str">
            <v>YES</v>
          </cell>
          <cell r="I410" t="str">
            <v>YES</v>
          </cell>
          <cell r="J410" t="str">
            <v>NO</v>
          </cell>
          <cell r="K410" t="str">
            <v>YES</v>
          </cell>
          <cell r="L410" t="str">
            <v>YES</v>
          </cell>
          <cell r="M410" t="str">
            <v>NO</v>
          </cell>
          <cell r="N410" t="str">
            <v>NO</v>
          </cell>
        </row>
        <row r="411">
          <cell r="A411">
            <v>4049</v>
          </cell>
          <cell r="B411">
            <v>571</v>
          </cell>
          <cell r="C411">
            <v>6</v>
          </cell>
          <cell r="D411" t="str">
            <v>YES</v>
          </cell>
          <cell r="E411" t="str">
            <v>NO</v>
          </cell>
          <cell r="F411" t="str">
            <v>YES</v>
          </cell>
          <cell r="G411" t="str">
            <v>NO</v>
          </cell>
          <cell r="H411" t="str">
            <v>YES</v>
          </cell>
          <cell r="I411" t="str">
            <v>YES</v>
          </cell>
          <cell r="J411" t="str">
            <v>NO</v>
          </cell>
          <cell r="K411" t="str">
            <v>YES</v>
          </cell>
          <cell r="L411" t="str">
            <v>YES</v>
          </cell>
          <cell r="M411" t="str">
            <v>NO</v>
          </cell>
          <cell r="N411" t="str">
            <v>NO</v>
          </cell>
        </row>
        <row r="412">
          <cell r="A412">
            <v>4050</v>
          </cell>
          <cell r="B412">
            <v>571</v>
          </cell>
          <cell r="C412">
            <v>6</v>
          </cell>
          <cell r="D412" t="str">
            <v>YES</v>
          </cell>
          <cell r="E412" t="str">
            <v>NO</v>
          </cell>
          <cell r="F412" t="str">
            <v>YES</v>
          </cell>
          <cell r="G412" t="str">
            <v>NO</v>
          </cell>
          <cell r="H412" t="str">
            <v>YES</v>
          </cell>
          <cell r="I412" t="str">
            <v>YES</v>
          </cell>
          <cell r="J412" t="str">
            <v>NO</v>
          </cell>
          <cell r="K412" t="str">
            <v>YES</v>
          </cell>
          <cell r="L412" t="str">
            <v>YES</v>
          </cell>
          <cell r="M412" t="str">
            <v>NO</v>
          </cell>
          <cell r="N412" t="str">
            <v>NO</v>
          </cell>
        </row>
        <row r="413">
          <cell r="A413">
            <v>4099</v>
          </cell>
          <cell r="B413">
            <v>571</v>
          </cell>
          <cell r="C413">
            <v>6</v>
          </cell>
          <cell r="D413" t="str">
            <v>YES</v>
          </cell>
          <cell r="E413" t="str">
            <v>NO</v>
          </cell>
          <cell r="F413" t="str">
            <v>YES</v>
          </cell>
          <cell r="G413" t="str">
            <v>NO</v>
          </cell>
          <cell r="H413" t="str">
            <v>YES</v>
          </cell>
          <cell r="I413" t="str">
            <v>YES</v>
          </cell>
          <cell r="J413" t="str">
            <v>NO</v>
          </cell>
          <cell r="K413" t="str">
            <v>YES</v>
          </cell>
          <cell r="L413" t="str">
            <v>YES</v>
          </cell>
          <cell r="M413" t="str">
            <v>NO</v>
          </cell>
          <cell r="N413" t="str">
            <v>NO</v>
          </cell>
        </row>
        <row r="414">
          <cell r="A414">
            <v>4100</v>
          </cell>
          <cell r="B414">
            <v>571</v>
          </cell>
          <cell r="C414">
            <v>6</v>
          </cell>
          <cell r="D414" t="str">
            <v>YES</v>
          </cell>
          <cell r="E414" t="str">
            <v>NO</v>
          </cell>
          <cell r="F414" t="str">
            <v>YES</v>
          </cell>
          <cell r="G414" t="str">
            <v>NO</v>
          </cell>
          <cell r="H414" t="str">
            <v>YES</v>
          </cell>
          <cell r="I414" t="str">
            <v>YES</v>
          </cell>
          <cell r="J414" t="str">
            <v>NO</v>
          </cell>
          <cell r="K414" t="str">
            <v>YES</v>
          </cell>
          <cell r="L414" t="str">
            <v>YES</v>
          </cell>
          <cell r="M414" t="str">
            <v>NO</v>
          </cell>
          <cell r="N414" t="str">
            <v>NO</v>
          </cell>
        </row>
        <row r="415">
          <cell r="A415">
            <v>4149</v>
          </cell>
          <cell r="B415">
            <v>571</v>
          </cell>
          <cell r="C415">
            <v>6</v>
          </cell>
          <cell r="D415" t="str">
            <v>YES</v>
          </cell>
          <cell r="E415" t="str">
            <v>NO</v>
          </cell>
          <cell r="F415" t="str">
            <v>YES</v>
          </cell>
          <cell r="G415" t="str">
            <v>NO</v>
          </cell>
          <cell r="H415" t="str">
            <v>YES</v>
          </cell>
          <cell r="I415" t="str">
            <v>YES</v>
          </cell>
          <cell r="J415" t="str">
            <v>NO</v>
          </cell>
          <cell r="K415" t="str">
            <v>YES</v>
          </cell>
          <cell r="L415" t="str">
            <v>YES</v>
          </cell>
          <cell r="M415" t="str">
            <v>NO</v>
          </cell>
          <cell r="N415" t="str">
            <v>NO</v>
          </cell>
        </row>
        <row r="416">
          <cell r="A416">
            <v>4150</v>
          </cell>
          <cell r="B416">
            <v>571</v>
          </cell>
          <cell r="C416">
            <v>6</v>
          </cell>
          <cell r="D416" t="str">
            <v>YES</v>
          </cell>
          <cell r="E416" t="str">
            <v>NO</v>
          </cell>
          <cell r="F416" t="str">
            <v>YES</v>
          </cell>
          <cell r="G416" t="str">
            <v>NO</v>
          </cell>
          <cell r="H416" t="str">
            <v>YES</v>
          </cell>
          <cell r="I416" t="str">
            <v>YES</v>
          </cell>
          <cell r="J416" t="str">
            <v>NO</v>
          </cell>
          <cell r="K416" t="str">
            <v>YES</v>
          </cell>
          <cell r="L416" t="str">
            <v>YES</v>
          </cell>
          <cell r="M416" t="str">
            <v>NO</v>
          </cell>
          <cell r="N416" t="str">
            <v>NO</v>
          </cell>
        </row>
        <row r="417">
          <cell r="A417">
            <v>4169</v>
          </cell>
          <cell r="B417">
            <v>571</v>
          </cell>
          <cell r="C417">
            <v>6</v>
          </cell>
          <cell r="D417" t="str">
            <v>YES</v>
          </cell>
          <cell r="E417" t="str">
            <v>NO</v>
          </cell>
          <cell r="F417" t="str">
            <v>YES</v>
          </cell>
          <cell r="G417" t="str">
            <v>NO</v>
          </cell>
          <cell r="H417" t="str">
            <v>YES</v>
          </cell>
          <cell r="I417" t="str">
            <v>YES</v>
          </cell>
          <cell r="J417" t="str">
            <v>NO</v>
          </cell>
          <cell r="K417" t="str">
            <v>YES</v>
          </cell>
          <cell r="L417" t="str">
            <v>YES</v>
          </cell>
          <cell r="M417" t="str">
            <v>NO</v>
          </cell>
          <cell r="N417" t="str">
            <v>NO</v>
          </cell>
        </row>
        <row r="418">
          <cell r="A418">
            <v>4199</v>
          </cell>
          <cell r="B418">
            <v>571</v>
          </cell>
          <cell r="C418">
            <v>6</v>
          </cell>
          <cell r="D418" t="str">
            <v>YES</v>
          </cell>
          <cell r="E418" t="str">
            <v>NO</v>
          </cell>
          <cell r="F418" t="str">
            <v>YES</v>
          </cell>
          <cell r="G418" t="str">
            <v>NO</v>
          </cell>
          <cell r="H418" t="str">
            <v>YES</v>
          </cell>
          <cell r="I418" t="str">
            <v>YES</v>
          </cell>
          <cell r="J418" t="str">
            <v>NO</v>
          </cell>
          <cell r="K418" t="str">
            <v>YES</v>
          </cell>
          <cell r="L418" t="str">
            <v>YES</v>
          </cell>
          <cell r="M418" t="str">
            <v>NO</v>
          </cell>
          <cell r="N418" t="str">
            <v>NO</v>
          </cell>
        </row>
        <row r="419">
          <cell r="A419">
            <v>4200</v>
          </cell>
          <cell r="B419">
            <v>571</v>
          </cell>
          <cell r="C419">
            <v>6</v>
          </cell>
          <cell r="D419" t="str">
            <v>YES</v>
          </cell>
          <cell r="E419" t="str">
            <v>NO</v>
          </cell>
          <cell r="F419" t="str">
            <v>YES</v>
          </cell>
          <cell r="G419" t="str">
            <v>NO</v>
          </cell>
          <cell r="H419" t="str">
            <v>YES</v>
          </cell>
          <cell r="I419" t="str">
            <v>YES</v>
          </cell>
          <cell r="J419" t="str">
            <v>NO</v>
          </cell>
          <cell r="K419" t="str">
            <v>YES</v>
          </cell>
          <cell r="L419" t="str">
            <v>YES</v>
          </cell>
          <cell r="M419" t="str">
            <v>NO</v>
          </cell>
          <cell r="N419" t="str">
            <v>NO</v>
          </cell>
        </row>
        <row r="420">
          <cell r="A420">
            <v>4249</v>
          </cell>
          <cell r="B420">
            <v>571</v>
          </cell>
          <cell r="C420">
            <v>6</v>
          </cell>
          <cell r="D420" t="str">
            <v>YES</v>
          </cell>
          <cell r="E420" t="str">
            <v>NO</v>
          </cell>
          <cell r="F420" t="str">
            <v>YES</v>
          </cell>
          <cell r="G420" t="str">
            <v>NO</v>
          </cell>
          <cell r="H420" t="str">
            <v>YES</v>
          </cell>
          <cell r="I420" t="str">
            <v>YES</v>
          </cell>
          <cell r="J420" t="str">
            <v>NO</v>
          </cell>
          <cell r="K420" t="str">
            <v>YES</v>
          </cell>
          <cell r="L420" t="str">
            <v>YES</v>
          </cell>
          <cell r="M420" t="str">
            <v>NO</v>
          </cell>
          <cell r="N420" t="str">
            <v>NO</v>
          </cell>
        </row>
        <row r="421">
          <cell r="A421">
            <v>4250</v>
          </cell>
          <cell r="B421">
            <v>571</v>
          </cell>
          <cell r="C421">
            <v>6</v>
          </cell>
          <cell r="D421" t="str">
            <v>YES</v>
          </cell>
          <cell r="E421" t="str">
            <v>NO</v>
          </cell>
          <cell r="F421" t="str">
            <v>YES</v>
          </cell>
          <cell r="G421" t="str">
            <v>NO</v>
          </cell>
          <cell r="H421" t="str">
            <v>YES</v>
          </cell>
          <cell r="I421" t="str">
            <v>YES</v>
          </cell>
          <cell r="J421" t="str">
            <v>NO</v>
          </cell>
          <cell r="K421" t="str">
            <v>YES</v>
          </cell>
          <cell r="L421" t="str">
            <v>YES</v>
          </cell>
          <cell r="M421" t="str">
            <v>NO</v>
          </cell>
          <cell r="N421" t="str">
            <v>NO</v>
          </cell>
        </row>
        <row r="422">
          <cell r="A422">
            <v>4269</v>
          </cell>
          <cell r="B422">
            <v>571</v>
          </cell>
          <cell r="C422">
            <v>6</v>
          </cell>
          <cell r="D422" t="str">
            <v>YES</v>
          </cell>
          <cell r="E422" t="str">
            <v>NO</v>
          </cell>
          <cell r="F422" t="str">
            <v>YES</v>
          </cell>
          <cell r="G422" t="str">
            <v>NO</v>
          </cell>
          <cell r="H422" t="str">
            <v>YES</v>
          </cell>
          <cell r="I422" t="str">
            <v>YES</v>
          </cell>
          <cell r="J422" t="str">
            <v>NO</v>
          </cell>
          <cell r="K422" t="str">
            <v>YES</v>
          </cell>
          <cell r="L422" t="str">
            <v>YES</v>
          </cell>
          <cell r="M422" t="str">
            <v>NO</v>
          </cell>
          <cell r="N422" t="str">
            <v>NO</v>
          </cell>
        </row>
        <row r="423">
          <cell r="A423">
            <v>4300</v>
          </cell>
          <cell r="B423">
            <v>571</v>
          </cell>
          <cell r="C423">
            <v>6</v>
          </cell>
          <cell r="D423" t="str">
            <v>YES</v>
          </cell>
          <cell r="E423" t="str">
            <v>NO</v>
          </cell>
          <cell r="F423" t="str">
            <v>YES</v>
          </cell>
          <cell r="G423" t="str">
            <v>NO</v>
          </cell>
          <cell r="H423" t="str">
            <v>YES</v>
          </cell>
          <cell r="I423" t="str">
            <v>YES</v>
          </cell>
          <cell r="J423" t="str">
            <v>NO</v>
          </cell>
          <cell r="K423" t="str">
            <v>YES</v>
          </cell>
          <cell r="L423" t="str">
            <v>YES</v>
          </cell>
          <cell r="M423" t="str">
            <v>NO</v>
          </cell>
          <cell r="N423" t="str">
            <v>NO</v>
          </cell>
        </row>
        <row r="424">
          <cell r="A424">
            <v>4349</v>
          </cell>
          <cell r="B424">
            <v>571</v>
          </cell>
          <cell r="C424">
            <v>6</v>
          </cell>
          <cell r="D424" t="str">
            <v>YES</v>
          </cell>
          <cell r="E424" t="str">
            <v>NO</v>
          </cell>
          <cell r="F424" t="str">
            <v>YES</v>
          </cell>
          <cell r="G424" t="str">
            <v>NO</v>
          </cell>
          <cell r="H424" t="str">
            <v>YES</v>
          </cell>
          <cell r="I424" t="str">
            <v>YES</v>
          </cell>
          <cell r="J424" t="str">
            <v>NO</v>
          </cell>
          <cell r="K424" t="str">
            <v>YES</v>
          </cell>
          <cell r="L424" t="str">
            <v>YES</v>
          </cell>
          <cell r="M424" t="str">
            <v>NO</v>
          </cell>
          <cell r="N424" t="str">
            <v>NO</v>
          </cell>
        </row>
        <row r="425">
          <cell r="A425">
            <v>4350</v>
          </cell>
          <cell r="B425">
            <v>571</v>
          </cell>
          <cell r="C425">
            <v>6</v>
          </cell>
          <cell r="D425" t="str">
            <v>YES</v>
          </cell>
          <cell r="E425" t="str">
            <v>NO</v>
          </cell>
          <cell r="F425" t="str">
            <v>YES</v>
          </cell>
          <cell r="G425" t="str">
            <v>NO</v>
          </cell>
          <cell r="H425" t="str">
            <v>YES</v>
          </cell>
          <cell r="I425" t="str">
            <v>YES</v>
          </cell>
          <cell r="J425" t="str">
            <v>NO</v>
          </cell>
          <cell r="K425" t="str">
            <v>YES</v>
          </cell>
          <cell r="L425" t="str">
            <v>YES</v>
          </cell>
          <cell r="M425" t="str">
            <v>NO</v>
          </cell>
          <cell r="N425" t="str">
            <v>NO</v>
          </cell>
        </row>
        <row r="426">
          <cell r="A426">
            <v>4369</v>
          </cell>
          <cell r="B426">
            <v>571</v>
          </cell>
          <cell r="C426">
            <v>6</v>
          </cell>
          <cell r="D426" t="str">
            <v>YES</v>
          </cell>
          <cell r="E426" t="str">
            <v>NO</v>
          </cell>
          <cell r="F426" t="str">
            <v>YES</v>
          </cell>
          <cell r="G426" t="str">
            <v>NO</v>
          </cell>
          <cell r="H426" t="str">
            <v>YES</v>
          </cell>
          <cell r="I426" t="str">
            <v>YES</v>
          </cell>
          <cell r="J426" t="str">
            <v>NO</v>
          </cell>
          <cell r="K426" t="str">
            <v>YES</v>
          </cell>
          <cell r="L426" t="str">
            <v>YES</v>
          </cell>
          <cell r="M426" t="str">
            <v>NO</v>
          </cell>
          <cell r="N426" t="str">
            <v>NO</v>
          </cell>
        </row>
        <row r="427">
          <cell r="A427">
            <v>4400</v>
          </cell>
          <cell r="B427">
            <v>571</v>
          </cell>
          <cell r="C427">
            <v>6</v>
          </cell>
          <cell r="D427" t="str">
            <v>YES</v>
          </cell>
          <cell r="E427" t="str">
            <v>NO</v>
          </cell>
          <cell r="F427" t="str">
            <v>YES</v>
          </cell>
          <cell r="G427" t="str">
            <v>NO</v>
          </cell>
          <cell r="H427" t="str">
            <v>YES</v>
          </cell>
          <cell r="I427" t="str">
            <v>YES</v>
          </cell>
          <cell r="J427" t="str">
            <v>NO</v>
          </cell>
          <cell r="K427" t="str">
            <v>YES</v>
          </cell>
          <cell r="L427" t="str">
            <v>YES</v>
          </cell>
          <cell r="M427" t="str">
            <v>NO</v>
          </cell>
          <cell r="N427" t="str">
            <v>NO</v>
          </cell>
        </row>
        <row r="428">
          <cell r="A428">
            <v>4401</v>
          </cell>
          <cell r="B428">
            <v>571</v>
          </cell>
          <cell r="C428">
            <v>6</v>
          </cell>
          <cell r="D428" t="str">
            <v>YES</v>
          </cell>
          <cell r="E428" t="str">
            <v>NO</v>
          </cell>
          <cell r="F428" t="str">
            <v>YES</v>
          </cell>
          <cell r="G428" t="str">
            <v>NO</v>
          </cell>
          <cell r="H428" t="str">
            <v>YES</v>
          </cell>
          <cell r="I428" t="str">
            <v>YES</v>
          </cell>
          <cell r="J428" t="str">
            <v>NO</v>
          </cell>
          <cell r="K428" t="str">
            <v>YES</v>
          </cell>
          <cell r="L428" t="str">
            <v>YES</v>
          </cell>
          <cell r="M428" t="str">
            <v>NO</v>
          </cell>
          <cell r="N428" t="str">
            <v>NO</v>
          </cell>
        </row>
        <row r="429">
          <cell r="A429">
            <v>4404</v>
          </cell>
          <cell r="B429">
            <v>571</v>
          </cell>
          <cell r="C429">
            <v>6</v>
          </cell>
          <cell r="D429" t="str">
            <v>YES</v>
          </cell>
          <cell r="E429" t="str">
            <v>NO</v>
          </cell>
          <cell r="F429" t="str">
            <v>YES</v>
          </cell>
          <cell r="G429" t="str">
            <v>NO</v>
          </cell>
          <cell r="H429" t="str">
            <v>YES</v>
          </cell>
          <cell r="I429" t="str">
            <v>YES</v>
          </cell>
          <cell r="J429" t="str">
            <v>NO</v>
          </cell>
          <cell r="K429" t="str">
            <v>YES</v>
          </cell>
          <cell r="L429" t="str">
            <v>YES</v>
          </cell>
          <cell r="M429" t="str">
            <v>NO</v>
          </cell>
          <cell r="N429" t="str">
            <v>NO</v>
          </cell>
        </row>
        <row r="430">
          <cell r="A430">
            <v>4405</v>
          </cell>
          <cell r="B430">
            <v>571</v>
          </cell>
          <cell r="C430">
            <v>6</v>
          </cell>
          <cell r="D430" t="str">
            <v>YES</v>
          </cell>
          <cell r="E430" t="str">
            <v>NO</v>
          </cell>
          <cell r="F430" t="str">
            <v>YES</v>
          </cell>
          <cell r="G430" t="str">
            <v>NO</v>
          </cell>
          <cell r="H430" t="str">
            <v>YES</v>
          </cell>
          <cell r="I430" t="str">
            <v>YES</v>
          </cell>
          <cell r="J430" t="str">
            <v>NO</v>
          </cell>
          <cell r="K430" t="str">
            <v>YES</v>
          </cell>
          <cell r="L430" t="str">
            <v>YES</v>
          </cell>
          <cell r="M430" t="str">
            <v>NO</v>
          </cell>
          <cell r="N430" t="str">
            <v>NO</v>
          </cell>
        </row>
        <row r="431">
          <cell r="A431">
            <v>4409</v>
          </cell>
          <cell r="B431">
            <v>571</v>
          </cell>
          <cell r="C431">
            <v>6</v>
          </cell>
          <cell r="D431" t="str">
            <v>YES</v>
          </cell>
          <cell r="E431" t="str">
            <v>NO</v>
          </cell>
          <cell r="F431" t="str">
            <v>YES</v>
          </cell>
          <cell r="G431" t="str">
            <v>NO</v>
          </cell>
          <cell r="H431" t="str">
            <v>YES</v>
          </cell>
          <cell r="I431" t="str">
            <v>YES</v>
          </cell>
          <cell r="J431" t="str">
            <v>NO</v>
          </cell>
          <cell r="K431" t="str">
            <v>YES</v>
          </cell>
          <cell r="L431" t="str">
            <v>YES</v>
          </cell>
          <cell r="M431" t="str">
            <v>NO</v>
          </cell>
          <cell r="N431" t="str">
            <v>NO</v>
          </cell>
        </row>
        <row r="432">
          <cell r="A432">
            <v>4410</v>
          </cell>
          <cell r="B432">
            <v>571</v>
          </cell>
          <cell r="C432">
            <v>6</v>
          </cell>
          <cell r="D432" t="str">
            <v>YES</v>
          </cell>
          <cell r="E432" t="str">
            <v>NO</v>
          </cell>
          <cell r="F432" t="str">
            <v>YES</v>
          </cell>
          <cell r="G432" t="str">
            <v>NO</v>
          </cell>
          <cell r="H432" t="str">
            <v>YES</v>
          </cell>
          <cell r="I432" t="str">
            <v>YES</v>
          </cell>
          <cell r="J432" t="str">
            <v>NO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NO</v>
          </cell>
        </row>
        <row r="433">
          <cell r="A433">
            <v>4414</v>
          </cell>
          <cell r="B433">
            <v>571</v>
          </cell>
          <cell r="C433">
            <v>6</v>
          </cell>
          <cell r="D433" t="str">
            <v>YES</v>
          </cell>
          <cell r="E433" t="str">
            <v>NO</v>
          </cell>
          <cell r="F433" t="str">
            <v>YES</v>
          </cell>
          <cell r="G433" t="str">
            <v>NO</v>
          </cell>
          <cell r="H433" t="str">
            <v>YES</v>
          </cell>
          <cell r="I433" t="str">
            <v>YES</v>
          </cell>
          <cell r="J433" t="str">
            <v>NO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NO</v>
          </cell>
        </row>
        <row r="434">
          <cell r="A434">
            <v>4415</v>
          </cell>
          <cell r="B434">
            <v>571</v>
          </cell>
          <cell r="C434">
            <v>6</v>
          </cell>
          <cell r="D434" t="str">
            <v>YES</v>
          </cell>
          <cell r="E434" t="str">
            <v>NO</v>
          </cell>
          <cell r="F434" t="str">
            <v>YES</v>
          </cell>
          <cell r="G434" t="str">
            <v>NO</v>
          </cell>
          <cell r="H434" t="str">
            <v>YES</v>
          </cell>
          <cell r="I434" t="str">
            <v>YES</v>
          </cell>
          <cell r="J434" t="str">
            <v>NO</v>
          </cell>
          <cell r="K434" t="str">
            <v>YES</v>
          </cell>
          <cell r="L434" t="str">
            <v>YES</v>
          </cell>
          <cell r="M434" t="str">
            <v>NO</v>
          </cell>
          <cell r="N434" t="str">
            <v>NO</v>
          </cell>
        </row>
        <row r="435">
          <cell r="A435">
            <v>4420</v>
          </cell>
          <cell r="B435">
            <v>571</v>
          </cell>
          <cell r="C435">
            <v>6</v>
          </cell>
          <cell r="D435" t="str">
            <v>YES</v>
          </cell>
          <cell r="E435" t="str">
            <v>NO</v>
          </cell>
          <cell r="F435" t="str">
            <v>YES</v>
          </cell>
          <cell r="G435" t="str">
            <v>NO</v>
          </cell>
          <cell r="H435" t="str">
            <v>YES</v>
          </cell>
          <cell r="I435" t="str">
            <v>YES</v>
          </cell>
          <cell r="J435" t="str">
            <v>NO</v>
          </cell>
          <cell r="K435" t="str">
            <v>YES</v>
          </cell>
          <cell r="L435" t="str">
            <v>YES</v>
          </cell>
          <cell r="M435" t="str">
            <v>NO</v>
          </cell>
          <cell r="N435" t="str">
            <v>NO</v>
          </cell>
        </row>
        <row r="436">
          <cell r="A436">
            <v>4425</v>
          </cell>
          <cell r="B436">
            <v>571</v>
          </cell>
          <cell r="C436">
            <v>6</v>
          </cell>
          <cell r="D436" t="str">
            <v>YES</v>
          </cell>
          <cell r="E436" t="str">
            <v>NO</v>
          </cell>
          <cell r="F436" t="str">
            <v>YES</v>
          </cell>
          <cell r="G436" t="str">
            <v>NO</v>
          </cell>
          <cell r="H436" t="str">
            <v>YES</v>
          </cell>
          <cell r="I436" t="str">
            <v>YES</v>
          </cell>
          <cell r="J436" t="str">
            <v>NO</v>
          </cell>
          <cell r="K436" t="str">
            <v>YES</v>
          </cell>
          <cell r="L436" t="str">
            <v>YES</v>
          </cell>
          <cell r="M436" t="str">
            <v>NO</v>
          </cell>
          <cell r="N436" t="str">
            <v>NO</v>
          </cell>
        </row>
        <row r="437">
          <cell r="A437">
            <v>4430</v>
          </cell>
          <cell r="B437">
            <v>571</v>
          </cell>
          <cell r="C437">
            <v>6</v>
          </cell>
          <cell r="D437" t="str">
            <v>YES</v>
          </cell>
          <cell r="E437" t="str">
            <v>NO</v>
          </cell>
          <cell r="F437" t="str">
            <v>YES</v>
          </cell>
          <cell r="G437" t="str">
            <v>NO</v>
          </cell>
          <cell r="H437" t="str">
            <v>YES</v>
          </cell>
          <cell r="I437" t="str">
            <v>YES</v>
          </cell>
          <cell r="J437" t="str">
            <v>NO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NO</v>
          </cell>
        </row>
        <row r="438">
          <cell r="A438">
            <v>4434</v>
          </cell>
          <cell r="B438">
            <v>571</v>
          </cell>
          <cell r="C438">
            <v>6</v>
          </cell>
          <cell r="D438" t="str">
            <v>YES</v>
          </cell>
          <cell r="E438" t="str">
            <v>NO</v>
          </cell>
          <cell r="F438" t="str">
            <v>YES</v>
          </cell>
          <cell r="G438" t="str">
            <v>NO</v>
          </cell>
          <cell r="H438" t="str">
            <v>YES</v>
          </cell>
          <cell r="I438" t="str">
            <v>YES</v>
          </cell>
          <cell r="J438" t="str">
            <v>NO</v>
          </cell>
          <cell r="K438" t="str">
            <v>YES</v>
          </cell>
          <cell r="L438" t="str">
            <v>YES</v>
          </cell>
          <cell r="M438" t="str">
            <v>NO</v>
          </cell>
          <cell r="N438" t="str">
            <v>NO</v>
          </cell>
        </row>
        <row r="439">
          <cell r="A439">
            <v>4435</v>
          </cell>
          <cell r="B439">
            <v>571</v>
          </cell>
          <cell r="C439">
            <v>6</v>
          </cell>
          <cell r="D439" t="str">
            <v>YES</v>
          </cell>
          <cell r="E439" t="str">
            <v>NO</v>
          </cell>
          <cell r="F439" t="str">
            <v>YES</v>
          </cell>
          <cell r="G439" t="str">
            <v>NO</v>
          </cell>
          <cell r="H439" t="str">
            <v>YES</v>
          </cell>
          <cell r="I439" t="str">
            <v>YES</v>
          </cell>
          <cell r="J439" t="str">
            <v>NO</v>
          </cell>
          <cell r="K439" t="str">
            <v>YES</v>
          </cell>
          <cell r="L439" t="str">
            <v>YES</v>
          </cell>
          <cell r="M439" t="str">
            <v>NO</v>
          </cell>
          <cell r="N439" t="str">
            <v>NO</v>
          </cell>
        </row>
        <row r="440">
          <cell r="A440">
            <v>4440</v>
          </cell>
          <cell r="B440">
            <v>571</v>
          </cell>
          <cell r="C440">
            <v>6</v>
          </cell>
          <cell r="D440" t="str">
            <v>YES</v>
          </cell>
          <cell r="E440" t="str">
            <v>NO</v>
          </cell>
          <cell r="F440" t="str">
            <v>YES</v>
          </cell>
          <cell r="G440" t="str">
            <v>NO</v>
          </cell>
          <cell r="H440" t="str">
            <v>YES</v>
          </cell>
          <cell r="I440" t="str">
            <v>YES</v>
          </cell>
          <cell r="J440" t="str">
            <v>NO</v>
          </cell>
          <cell r="K440" t="str">
            <v>YES</v>
          </cell>
          <cell r="L440" t="str">
            <v>YES</v>
          </cell>
          <cell r="M440" t="str">
            <v>NO</v>
          </cell>
          <cell r="N440" t="str">
            <v>NO</v>
          </cell>
        </row>
        <row r="441">
          <cell r="A441">
            <v>4445</v>
          </cell>
          <cell r="B441">
            <v>571</v>
          </cell>
          <cell r="C441">
            <v>6</v>
          </cell>
          <cell r="D441" t="str">
            <v>YES</v>
          </cell>
          <cell r="E441" t="str">
            <v>NO</v>
          </cell>
          <cell r="F441" t="str">
            <v>YES</v>
          </cell>
          <cell r="G441" t="str">
            <v>NO</v>
          </cell>
          <cell r="H441" t="str">
            <v>YES</v>
          </cell>
          <cell r="I441" t="str">
            <v>YES</v>
          </cell>
          <cell r="J441" t="str">
            <v>NO</v>
          </cell>
          <cell r="K441" t="str">
            <v>YES</v>
          </cell>
          <cell r="L441" t="str">
            <v>YES</v>
          </cell>
          <cell r="M441" t="str">
            <v>NO</v>
          </cell>
          <cell r="N441" t="str">
            <v>NO</v>
          </cell>
        </row>
        <row r="442">
          <cell r="A442">
            <v>4450</v>
          </cell>
          <cell r="B442">
            <v>571</v>
          </cell>
          <cell r="C442">
            <v>6</v>
          </cell>
          <cell r="D442" t="str">
            <v>YES</v>
          </cell>
          <cell r="E442" t="str">
            <v>NO</v>
          </cell>
          <cell r="F442" t="str">
            <v>YES</v>
          </cell>
          <cell r="G442" t="str">
            <v>NO</v>
          </cell>
          <cell r="H442" t="str">
            <v>YES</v>
          </cell>
          <cell r="I442" t="str">
            <v>YES</v>
          </cell>
          <cell r="J442" t="str">
            <v>NO</v>
          </cell>
          <cell r="K442" t="str">
            <v>YES</v>
          </cell>
          <cell r="L442" t="str">
            <v>YES</v>
          </cell>
          <cell r="M442" t="str">
            <v>NO</v>
          </cell>
          <cell r="N442" t="str">
            <v>NO</v>
          </cell>
        </row>
        <row r="443">
          <cell r="A443">
            <v>4454</v>
          </cell>
          <cell r="B443">
            <v>571</v>
          </cell>
          <cell r="C443">
            <v>6</v>
          </cell>
          <cell r="D443" t="str">
            <v>YES</v>
          </cell>
          <cell r="E443" t="str">
            <v>NO</v>
          </cell>
          <cell r="F443" t="str">
            <v>YES</v>
          </cell>
          <cell r="G443" t="str">
            <v>NO</v>
          </cell>
          <cell r="H443" t="str">
            <v>YES</v>
          </cell>
          <cell r="I443" t="str">
            <v>YES</v>
          </cell>
          <cell r="J443" t="str">
            <v>NO</v>
          </cell>
          <cell r="K443" t="str">
            <v>YES</v>
          </cell>
          <cell r="L443" t="str">
            <v>YES</v>
          </cell>
          <cell r="M443" t="str">
            <v>NO</v>
          </cell>
          <cell r="N443" t="str">
            <v>NO</v>
          </cell>
        </row>
        <row r="444">
          <cell r="A444">
            <v>4455</v>
          </cell>
          <cell r="B444">
            <v>571</v>
          </cell>
          <cell r="C444">
            <v>6</v>
          </cell>
          <cell r="D444" t="str">
            <v>YES</v>
          </cell>
          <cell r="E444" t="str">
            <v>NO</v>
          </cell>
          <cell r="F444" t="str">
            <v>YES</v>
          </cell>
          <cell r="G444" t="str">
            <v>NO</v>
          </cell>
          <cell r="H444" t="str">
            <v>YES</v>
          </cell>
          <cell r="I444" t="str">
            <v>YES</v>
          </cell>
          <cell r="J444" t="str">
            <v>NO</v>
          </cell>
          <cell r="K444" t="str">
            <v>YES</v>
          </cell>
          <cell r="L444" t="str">
            <v>YES</v>
          </cell>
          <cell r="M444" t="str">
            <v>NO</v>
          </cell>
          <cell r="N444" t="str">
            <v>NO</v>
          </cell>
        </row>
        <row r="445">
          <cell r="A445">
            <v>4460</v>
          </cell>
          <cell r="B445">
            <v>571</v>
          </cell>
          <cell r="C445">
            <v>6</v>
          </cell>
          <cell r="D445" t="str">
            <v>YES</v>
          </cell>
          <cell r="E445" t="str">
            <v>NO</v>
          </cell>
          <cell r="F445" t="str">
            <v>YES</v>
          </cell>
          <cell r="G445" t="str">
            <v>NO</v>
          </cell>
          <cell r="H445" t="str">
            <v>YES</v>
          </cell>
          <cell r="I445" t="str">
            <v>YES</v>
          </cell>
          <cell r="J445" t="str">
            <v>NO</v>
          </cell>
          <cell r="K445" t="str">
            <v>YES</v>
          </cell>
          <cell r="L445" t="str">
            <v>YES</v>
          </cell>
          <cell r="M445" t="str">
            <v>NO</v>
          </cell>
          <cell r="N445" t="str">
            <v>NO</v>
          </cell>
        </row>
        <row r="446">
          <cell r="A446">
            <v>4464</v>
          </cell>
          <cell r="B446">
            <v>571</v>
          </cell>
          <cell r="C446">
            <v>6</v>
          </cell>
          <cell r="D446" t="str">
            <v>YES</v>
          </cell>
          <cell r="E446" t="str">
            <v>NO</v>
          </cell>
          <cell r="F446" t="str">
            <v>YES</v>
          </cell>
          <cell r="G446" t="str">
            <v>NO</v>
          </cell>
          <cell r="H446" t="str">
            <v>YES</v>
          </cell>
          <cell r="I446" t="str">
            <v>YES</v>
          </cell>
          <cell r="J446" t="str">
            <v>NO</v>
          </cell>
          <cell r="K446" t="str">
            <v>YES</v>
          </cell>
          <cell r="L446" t="str">
            <v>YES</v>
          </cell>
          <cell r="M446" t="str">
            <v>NO</v>
          </cell>
          <cell r="N446" t="str">
            <v>NO</v>
          </cell>
        </row>
        <row r="447">
          <cell r="A447">
            <v>4465</v>
          </cell>
          <cell r="B447">
            <v>571</v>
          </cell>
          <cell r="C447">
            <v>6</v>
          </cell>
          <cell r="D447" t="str">
            <v>YES</v>
          </cell>
          <cell r="E447" t="str">
            <v>NO</v>
          </cell>
          <cell r="F447" t="str">
            <v>YES</v>
          </cell>
          <cell r="G447" t="str">
            <v>NO</v>
          </cell>
          <cell r="H447" t="str">
            <v>YES</v>
          </cell>
          <cell r="I447" t="str">
            <v>YES</v>
          </cell>
          <cell r="J447" t="str">
            <v>NO</v>
          </cell>
          <cell r="K447" t="str">
            <v>YES</v>
          </cell>
          <cell r="L447" t="str">
            <v>YES</v>
          </cell>
          <cell r="M447" t="str">
            <v>NO</v>
          </cell>
          <cell r="N447" t="str">
            <v>NO</v>
          </cell>
        </row>
        <row r="448">
          <cell r="A448">
            <v>4470</v>
          </cell>
          <cell r="B448">
            <v>571</v>
          </cell>
          <cell r="C448">
            <v>6</v>
          </cell>
          <cell r="D448" t="str">
            <v>YES</v>
          </cell>
          <cell r="E448" t="str">
            <v>NO</v>
          </cell>
          <cell r="F448" t="str">
            <v>YES</v>
          </cell>
          <cell r="G448" t="str">
            <v>NO</v>
          </cell>
          <cell r="H448" t="str">
            <v>YES</v>
          </cell>
          <cell r="I448" t="str">
            <v>YES</v>
          </cell>
          <cell r="J448" t="str">
            <v>NO</v>
          </cell>
          <cell r="K448" t="str">
            <v>YES</v>
          </cell>
          <cell r="L448" t="str">
            <v>YES</v>
          </cell>
          <cell r="M448" t="str">
            <v>NO</v>
          </cell>
          <cell r="N448" t="str">
            <v>NO</v>
          </cell>
        </row>
        <row r="449">
          <cell r="A449">
            <v>4471</v>
          </cell>
          <cell r="B449">
            <v>571</v>
          </cell>
          <cell r="C449">
            <v>6</v>
          </cell>
          <cell r="D449" t="str">
            <v>YES</v>
          </cell>
          <cell r="E449" t="str">
            <v>NO</v>
          </cell>
          <cell r="F449" t="str">
            <v>YES</v>
          </cell>
          <cell r="G449" t="str">
            <v>NO</v>
          </cell>
          <cell r="H449" t="str">
            <v>YES</v>
          </cell>
          <cell r="I449" t="str">
            <v>YES</v>
          </cell>
          <cell r="J449" t="str">
            <v>NO</v>
          </cell>
          <cell r="K449" t="str">
            <v>YES</v>
          </cell>
          <cell r="L449" t="str">
            <v>YES</v>
          </cell>
          <cell r="M449" t="str">
            <v>NO</v>
          </cell>
          <cell r="N449" t="str">
            <v>NO</v>
          </cell>
        </row>
        <row r="450">
          <cell r="A450">
            <v>4474</v>
          </cell>
          <cell r="B450">
            <v>571</v>
          </cell>
          <cell r="C450">
            <v>6</v>
          </cell>
          <cell r="D450" t="str">
            <v>YES</v>
          </cell>
          <cell r="E450" t="str">
            <v>NO</v>
          </cell>
          <cell r="F450" t="str">
            <v>YES</v>
          </cell>
          <cell r="G450" t="str">
            <v>NO</v>
          </cell>
          <cell r="H450" t="str">
            <v>YES</v>
          </cell>
          <cell r="I450" t="str">
            <v>YES</v>
          </cell>
          <cell r="J450" t="str">
            <v>NO</v>
          </cell>
          <cell r="K450" t="str">
            <v>YES</v>
          </cell>
          <cell r="L450" t="str">
            <v>YES</v>
          </cell>
          <cell r="M450" t="str">
            <v>NO</v>
          </cell>
          <cell r="N450" t="str">
            <v>NO</v>
          </cell>
        </row>
        <row r="451">
          <cell r="A451">
            <v>4475</v>
          </cell>
          <cell r="B451">
            <v>571</v>
          </cell>
          <cell r="C451">
            <v>6</v>
          </cell>
          <cell r="D451" t="str">
            <v>YES</v>
          </cell>
          <cell r="E451" t="str">
            <v>NO</v>
          </cell>
          <cell r="F451" t="str">
            <v>YES</v>
          </cell>
          <cell r="G451" t="str">
            <v>NO</v>
          </cell>
          <cell r="H451" t="str">
            <v>YES</v>
          </cell>
          <cell r="I451" t="str">
            <v>YES</v>
          </cell>
          <cell r="J451" t="str">
            <v>NO</v>
          </cell>
          <cell r="K451" t="str">
            <v>YES</v>
          </cell>
          <cell r="L451" t="str">
            <v>YES</v>
          </cell>
          <cell r="M451" t="str">
            <v>NO</v>
          </cell>
          <cell r="N451" t="str">
            <v>NO</v>
          </cell>
        </row>
        <row r="452">
          <cell r="A452">
            <v>4479</v>
          </cell>
          <cell r="B452">
            <v>571</v>
          </cell>
          <cell r="C452">
            <v>6</v>
          </cell>
          <cell r="D452" t="str">
            <v>YES</v>
          </cell>
          <cell r="E452" t="str">
            <v>NO</v>
          </cell>
          <cell r="F452" t="str">
            <v>YES</v>
          </cell>
          <cell r="G452" t="str">
            <v>NO</v>
          </cell>
          <cell r="H452" t="str">
            <v>YES</v>
          </cell>
          <cell r="I452" t="str">
            <v>YES</v>
          </cell>
          <cell r="J452" t="str">
            <v>NO</v>
          </cell>
          <cell r="K452" t="str">
            <v>YES</v>
          </cell>
          <cell r="L452" t="str">
            <v>YES</v>
          </cell>
          <cell r="M452" t="str">
            <v>NO</v>
          </cell>
          <cell r="N452" t="str">
            <v>NO</v>
          </cell>
        </row>
        <row r="453">
          <cell r="A453">
            <v>4480</v>
          </cell>
          <cell r="B453">
            <v>571</v>
          </cell>
          <cell r="C453">
            <v>6</v>
          </cell>
          <cell r="D453" t="str">
            <v>YES</v>
          </cell>
          <cell r="E453" t="str">
            <v>NO</v>
          </cell>
          <cell r="F453" t="str">
            <v>YES</v>
          </cell>
          <cell r="G453" t="str">
            <v>NO</v>
          </cell>
          <cell r="H453" t="str">
            <v>YES</v>
          </cell>
          <cell r="I453" t="str">
            <v>YES</v>
          </cell>
          <cell r="J453" t="str">
            <v>NO</v>
          </cell>
          <cell r="K453" t="str">
            <v>YES</v>
          </cell>
          <cell r="L453" t="str">
            <v>YES</v>
          </cell>
          <cell r="M453" t="str">
            <v>NO</v>
          </cell>
          <cell r="N453" t="str">
            <v>NO</v>
          </cell>
        </row>
        <row r="454">
          <cell r="A454">
            <v>4484</v>
          </cell>
          <cell r="B454">
            <v>571</v>
          </cell>
          <cell r="C454">
            <v>6</v>
          </cell>
          <cell r="D454" t="str">
            <v>YES</v>
          </cell>
          <cell r="E454" t="str">
            <v>NO</v>
          </cell>
          <cell r="F454" t="str">
            <v>YES</v>
          </cell>
          <cell r="G454" t="str">
            <v>NO</v>
          </cell>
          <cell r="H454" t="str">
            <v>YES</v>
          </cell>
          <cell r="I454" t="str">
            <v>YES</v>
          </cell>
          <cell r="J454" t="str">
            <v>NO</v>
          </cell>
          <cell r="K454" t="str">
            <v>YES</v>
          </cell>
          <cell r="L454" t="str">
            <v>YES</v>
          </cell>
          <cell r="M454" t="str">
            <v>NO</v>
          </cell>
          <cell r="N454" t="str">
            <v>NO</v>
          </cell>
        </row>
        <row r="455">
          <cell r="A455">
            <v>4485</v>
          </cell>
          <cell r="B455">
            <v>571</v>
          </cell>
          <cell r="C455">
            <v>6</v>
          </cell>
          <cell r="D455" t="str">
            <v>YES</v>
          </cell>
          <cell r="E455" t="str">
            <v>NO</v>
          </cell>
          <cell r="F455" t="str">
            <v>YES</v>
          </cell>
          <cell r="G455" t="str">
            <v>NO</v>
          </cell>
          <cell r="H455" t="str">
            <v>YES</v>
          </cell>
          <cell r="I455" t="str">
            <v>YES</v>
          </cell>
          <cell r="J455" t="str">
            <v>NO</v>
          </cell>
          <cell r="K455" t="str">
            <v>YES</v>
          </cell>
          <cell r="L455" t="str">
            <v>YES</v>
          </cell>
          <cell r="M455" t="str">
            <v>NO</v>
          </cell>
          <cell r="N455" t="str">
            <v>NO</v>
          </cell>
        </row>
        <row r="456">
          <cell r="A456">
            <v>4486</v>
          </cell>
          <cell r="B456">
            <v>571</v>
          </cell>
          <cell r="C456">
            <v>6</v>
          </cell>
          <cell r="D456" t="str">
            <v>YES</v>
          </cell>
          <cell r="E456" t="str">
            <v>NO</v>
          </cell>
          <cell r="F456" t="str">
            <v>YES</v>
          </cell>
          <cell r="G456" t="str">
            <v>NO</v>
          </cell>
          <cell r="H456" t="str">
            <v>YES</v>
          </cell>
          <cell r="I456" t="str">
            <v>YES</v>
          </cell>
          <cell r="J456" t="str">
            <v>NO</v>
          </cell>
          <cell r="K456" t="str">
            <v>YES</v>
          </cell>
          <cell r="L456" t="str">
            <v>YES</v>
          </cell>
          <cell r="M456" t="str">
            <v>NO</v>
          </cell>
          <cell r="N456" t="str">
            <v>NO</v>
          </cell>
        </row>
        <row r="457">
          <cell r="A457">
            <v>4490</v>
          </cell>
          <cell r="B457">
            <v>571</v>
          </cell>
          <cell r="C457">
            <v>6</v>
          </cell>
          <cell r="D457" t="str">
            <v>YES</v>
          </cell>
          <cell r="E457" t="str">
            <v>NO</v>
          </cell>
          <cell r="F457" t="str">
            <v>YES</v>
          </cell>
          <cell r="G457" t="str">
            <v>NO</v>
          </cell>
          <cell r="H457" t="str">
            <v>YES</v>
          </cell>
          <cell r="I457" t="str">
            <v>YES</v>
          </cell>
          <cell r="J457" t="str">
            <v>NO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NO</v>
          </cell>
        </row>
        <row r="458">
          <cell r="A458">
            <v>4495</v>
          </cell>
          <cell r="B458">
            <v>571</v>
          </cell>
          <cell r="C458">
            <v>6</v>
          </cell>
          <cell r="D458" t="str">
            <v>YES</v>
          </cell>
          <cell r="E458" t="str">
            <v>NO</v>
          </cell>
          <cell r="F458" t="str">
            <v>YES</v>
          </cell>
          <cell r="G458" t="str">
            <v>NO</v>
          </cell>
          <cell r="H458" t="str">
            <v>YES</v>
          </cell>
          <cell r="I458" t="str">
            <v>YES</v>
          </cell>
          <cell r="J458" t="str">
            <v>NO</v>
          </cell>
          <cell r="K458" t="str">
            <v>YES</v>
          </cell>
          <cell r="L458" t="str">
            <v>YES</v>
          </cell>
          <cell r="M458" t="str">
            <v>NO</v>
          </cell>
          <cell r="N458" t="str">
            <v>NO</v>
          </cell>
        </row>
        <row r="459">
          <cell r="A459">
            <v>4500</v>
          </cell>
          <cell r="B459">
            <v>571</v>
          </cell>
          <cell r="C459">
            <v>6</v>
          </cell>
          <cell r="D459" t="str">
            <v>YES</v>
          </cell>
          <cell r="E459" t="str">
            <v>NO</v>
          </cell>
          <cell r="F459" t="str">
            <v>YES</v>
          </cell>
          <cell r="G459" t="str">
            <v>NO</v>
          </cell>
          <cell r="H459" t="str">
            <v>YES</v>
          </cell>
          <cell r="I459" t="str">
            <v>YES</v>
          </cell>
          <cell r="J459" t="str">
            <v>NO</v>
          </cell>
          <cell r="K459" t="str">
            <v>YES</v>
          </cell>
          <cell r="L459" t="str">
            <v>YES</v>
          </cell>
          <cell r="M459" t="str">
            <v>NO</v>
          </cell>
          <cell r="N459" t="str">
            <v>NO</v>
          </cell>
        </row>
        <row r="460">
          <cell r="A460">
            <v>4501</v>
          </cell>
          <cell r="B460">
            <v>571</v>
          </cell>
          <cell r="C460">
            <v>6</v>
          </cell>
          <cell r="D460" t="str">
            <v>YES</v>
          </cell>
          <cell r="E460" t="str">
            <v>NO</v>
          </cell>
          <cell r="F460" t="str">
            <v>YES</v>
          </cell>
          <cell r="G460" t="str">
            <v>NO</v>
          </cell>
          <cell r="H460" t="str">
            <v>YES</v>
          </cell>
          <cell r="I460" t="str">
            <v>YES</v>
          </cell>
          <cell r="J460" t="str">
            <v>NO</v>
          </cell>
          <cell r="K460" t="str">
            <v>YES</v>
          </cell>
          <cell r="L460" t="str">
            <v>YES</v>
          </cell>
          <cell r="M460" t="str">
            <v>NO</v>
          </cell>
          <cell r="N460" t="str">
            <v>NO</v>
          </cell>
        </row>
        <row r="461">
          <cell r="A461">
            <v>4504</v>
          </cell>
          <cell r="B461">
            <v>571</v>
          </cell>
          <cell r="C461">
            <v>6</v>
          </cell>
          <cell r="D461" t="str">
            <v>YES</v>
          </cell>
          <cell r="E461" t="str">
            <v>NO</v>
          </cell>
          <cell r="F461" t="str">
            <v>YES</v>
          </cell>
          <cell r="G461" t="str">
            <v>NO</v>
          </cell>
          <cell r="H461" t="str">
            <v>YES</v>
          </cell>
          <cell r="I461" t="str">
            <v>YES</v>
          </cell>
          <cell r="J461" t="str">
            <v>NO</v>
          </cell>
          <cell r="K461" t="str">
            <v>YES</v>
          </cell>
          <cell r="L461" t="str">
            <v>YES</v>
          </cell>
          <cell r="M461" t="str">
            <v>NO</v>
          </cell>
          <cell r="N461" t="str">
            <v>NO</v>
          </cell>
        </row>
        <row r="462">
          <cell r="A462">
            <v>4505</v>
          </cell>
          <cell r="B462">
            <v>571</v>
          </cell>
          <cell r="C462">
            <v>6</v>
          </cell>
          <cell r="D462" t="str">
            <v>YES</v>
          </cell>
          <cell r="E462" t="str">
            <v>NO</v>
          </cell>
          <cell r="F462" t="str">
            <v>YES</v>
          </cell>
          <cell r="G462" t="str">
            <v>NO</v>
          </cell>
          <cell r="H462" t="str">
            <v>YES</v>
          </cell>
          <cell r="I462" t="str">
            <v>YES</v>
          </cell>
          <cell r="J462" t="str">
            <v>NO</v>
          </cell>
          <cell r="K462" t="str">
            <v>YES</v>
          </cell>
          <cell r="L462" t="str">
            <v>YES</v>
          </cell>
          <cell r="M462" t="str">
            <v>NO</v>
          </cell>
          <cell r="N462" t="str">
            <v>NO</v>
          </cell>
        </row>
        <row r="463">
          <cell r="A463">
            <v>4510</v>
          </cell>
          <cell r="B463">
            <v>571</v>
          </cell>
          <cell r="C463">
            <v>6</v>
          </cell>
          <cell r="D463" t="str">
            <v>YES</v>
          </cell>
          <cell r="E463" t="str">
            <v>NO</v>
          </cell>
          <cell r="F463" t="str">
            <v>YES</v>
          </cell>
          <cell r="G463" t="str">
            <v>NO</v>
          </cell>
          <cell r="H463" t="str">
            <v>YES</v>
          </cell>
          <cell r="I463" t="str">
            <v>YES</v>
          </cell>
          <cell r="J463" t="str">
            <v>NO</v>
          </cell>
          <cell r="K463" t="str">
            <v>YES</v>
          </cell>
          <cell r="L463" t="str">
            <v>YES</v>
          </cell>
          <cell r="M463" t="str">
            <v>NO</v>
          </cell>
          <cell r="N463" t="str">
            <v>NO</v>
          </cell>
        </row>
        <row r="464">
          <cell r="A464">
            <v>4515</v>
          </cell>
          <cell r="B464">
            <v>571</v>
          </cell>
          <cell r="C464">
            <v>6</v>
          </cell>
          <cell r="D464" t="str">
            <v>YES</v>
          </cell>
          <cell r="E464" t="str">
            <v>NO</v>
          </cell>
          <cell r="F464" t="str">
            <v>YES</v>
          </cell>
          <cell r="G464" t="str">
            <v>NO</v>
          </cell>
          <cell r="H464" t="str">
            <v>YES</v>
          </cell>
          <cell r="I464" t="str">
            <v>YES</v>
          </cell>
          <cell r="J464" t="str">
            <v>NO</v>
          </cell>
          <cell r="K464" t="str">
            <v>YES</v>
          </cell>
          <cell r="L464" t="str">
            <v>YES</v>
          </cell>
          <cell r="M464" t="str">
            <v>NO</v>
          </cell>
          <cell r="N464" t="str">
            <v>NO</v>
          </cell>
        </row>
        <row r="465">
          <cell r="A465">
            <v>4520</v>
          </cell>
          <cell r="B465">
            <v>571</v>
          </cell>
          <cell r="C465">
            <v>6</v>
          </cell>
          <cell r="D465" t="str">
            <v>YES</v>
          </cell>
          <cell r="E465" t="str">
            <v>NO</v>
          </cell>
          <cell r="F465" t="str">
            <v>YES</v>
          </cell>
          <cell r="G465" t="str">
            <v>NO</v>
          </cell>
          <cell r="H465" t="str">
            <v>YES</v>
          </cell>
          <cell r="I465" t="str">
            <v>YES</v>
          </cell>
          <cell r="J465" t="str">
            <v>NO</v>
          </cell>
          <cell r="K465" t="str">
            <v>YES</v>
          </cell>
          <cell r="L465" t="str">
            <v>YES</v>
          </cell>
          <cell r="M465" t="str">
            <v>NO</v>
          </cell>
          <cell r="N465" t="str">
            <v>NO</v>
          </cell>
        </row>
        <row r="466">
          <cell r="A466">
            <v>4525</v>
          </cell>
          <cell r="B466">
            <v>571</v>
          </cell>
          <cell r="C466">
            <v>6</v>
          </cell>
          <cell r="D466" t="str">
            <v>YES</v>
          </cell>
          <cell r="E466" t="str">
            <v>NO</v>
          </cell>
          <cell r="F466" t="str">
            <v>YES</v>
          </cell>
          <cell r="G466" t="str">
            <v>NO</v>
          </cell>
          <cell r="H466" t="str">
            <v>YES</v>
          </cell>
          <cell r="I466" t="str">
            <v>YES</v>
          </cell>
          <cell r="J466" t="str">
            <v>NO</v>
          </cell>
          <cell r="K466" t="str">
            <v>YES</v>
          </cell>
          <cell r="L466" t="str">
            <v>YES</v>
          </cell>
          <cell r="M466" t="str">
            <v>NO</v>
          </cell>
          <cell r="N466" t="str">
            <v>NO</v>
          </cell>
        </row>
        <row r="467">
          <cell r="A467">
            <v>4535</v>
          </cell>
          <cell r="B467">
            <v>571</v>
          </cell>
          <cell r="C467">
            <v>6</v>
          </cell>
          <cell r="D467" t="str">
            <v>YES</v>
          </cell>
          <cell r="E467" t="str">
            <v>NO</v>
          </cell>
          <cell r="F467" t="str">
            <v>YES</v>
          </cell>
          <cell r="G467" t="str">
            <v>NO</v>
          </cell>
          <cell r="H467" t="str">
            <v>YES</v>
          </cell>
          <cell r="I467" t="str">
            <v>YES</v>
          </cell>
          <cell r="J467" t="str">
            <v>NO</v>
          </cell>
          <cell r="K467" t="str">
            <v>YES</v>
          </cell>
          <cell r="L467" t="str">
            <v>YES</v>
          </cell>
          <cell r="M467" t="str">
            <v>NO</v>
          </cell>
          <cell r="N467" t="str">
            <v>NO</v>
          </cell>
        </row>
        <row r="468">
          <cell r="A468">
            <v>4540</v>
          </cell>
          <cell r="B468">
            <v>571</v>
          </cell>
          <cell r="C468">
            <v>6</v>
          </cell>
          <cell r="D468" t="str">
            <v>YES</v>
          </cell>
          <cell r="E468" t="str">
            <v>NO</v>
          </cell>
          <cell r="F468" t="str">
            <v>YES</v>
          </cell>
          <cell r="G468" t="str">
            <v>NO</v>
          </cell>
          <cell r="H468" t="str">
            <v>YES</v>
          </cell>
          <cell r="I468" t="str">
            <v>YES</v>
          </cell>
          <cell r="J468" t="str">
            <v>NO</v>
          </cell>
          <cell r="K468" t="str">
            <v>YES</v>
          </cell>
          <cell r="L468" t="str">
            <v>YES</v>
          </cell>
          <cell r="M468" t="str">
            <v>NO</v>
          </cell>
          <cell r="N468" t="str">
            <v>NO</v>
          </cell>
        </row>
        <row r="469">
          <cell r="A469">
            <v>4550</v>
          </cell>
          <cell r="B469">
            <v>571</v>
          </cell>
          <cell r="C469">
            <v>6</v>
          </cell>
          <cell r="D469" t="str">
            <v>YES</v>
          </cell>
          <cell r="E469" t="str">
            <v>NO</v>
          </cell>
          <cell r="F469" t="str">
            <v>YES</v>
          </cell>
          <cell r="G469" t="str">
            <v>NO</v>
          </cell>
          <cell r="H469" t="str">
            <v>YES</v>
          </cell>
          <cell r="I469" t="str">
            <v>YES</v>
          </cell>
          <cell r="J469" t="str">
            <v>NO</v>
          </cell>
          <cell r="K469" t="str">
            <v>YES</v>
          </cell>
          <cell r="L469" t="str">
            <v>YES</v>
          </cell>
          <cell r="M469" t="str">
            <v>NO</v>
          </cell>
          <cell r="N469" t="str">
            <v>NO</v>
          </cell>
        </row>
        <row r="470">
          <cell r="A470">
            <v>4560</v>
          </cell>
          <cell r="B470">
            <v>571</v>
          </cell>
          <cell r="C470">
            <v>6</v>
          </cell>
          <cell r="D470" t="str">
            <v>YES</v>
          </cell>
          <cell r="E470" t="str">
            <v>NO</v>
          </cell>
          <cell r="F470" t="str">
            <v>YES</v>
          </cell>
          <cell r="G470" t="str">
            <v>NO</v>
          </cell>
          <cell r="H470" t="str">
            <v>YES</v>
          </cell>
          <cell r="I470" t="str">
            <v>YES</v>
          </cell>
          <cell r="J470" t="str">
            <v>NO</v>
          </cell>
          <cell r="K470" t="str">
            <v>YES</v>
          </cell>
          <cell r="L470" t="str">
            <v>YES</v>
          </cell>
          <cell r="M470" t="str">
            <v>NO</v>
          </cell>
          <cell r="N470" t="str">
            <v>NO</v>
          </cell>
        </row>
        <row r="471">
          <cell r="A471">
            <v>4564</v>
          </cell>
          <cell r="B471">
            <v>571</v>
          </cell>
          <cell r="C471">
            <v>6</v>
          </cell>
          <cell r="D471" t="str">
            <v>YES</v>
          </cell>
          <cell r="E471" t="str">
            <v>NO</v>
          </cell>
          <cell r="F471" t="str">
            <v>YES</v>
          </cell>
          <cell r="G471" t="str">
            <v>NO</v>
          </cell>
          <cell r="H471" t="str">
            <v>YES</v>
          </cell>
          <cell r="I471" t="str">
            <v>YES</v>
          </cell>
          <cell r="J471" t="str">
            <v>NO</v>
          </cell>
          <cell r="K471" t="str">
            <v>YES</v>
          </cell>
          <cell r="L471" t="str">
            <v>YES</v>
          </cell>
          <cell r="M471" t="str">
            <v>NO</v>
          </cell>
          <cell r="N471" t="str">
            <v>NO</v>
          </cell>
        </row>
        <row r="472">
          <cell r="A472">
            <v>4570</v>
          </cell>
          <cell r="B472">
            <v>571</v>
          </cell>
          <cell r="C472">
            <v>6</v>
          </cell>
          <cell r="D472" t="str">
            <v>YES</v>
          </cell>
          <cell r="E472" t="str">
            <v>NO</v>
          </cell>
          <cell r="F472" t="str">
            <v>YES</v>
          </cell>
          <cell r="G472" t="str">
            <v>NO</v>
          </cell>
          <cell r="H472" t="str">
            <v>YES</v>
          </cell>
          <cell r="I472" t="str">
            <v>YES</v>
          </cell>
          <cell r="J472" t="str">
            <v>NO</v>
          </cell>
          <cell r="K472" t="str">
            <v>YES</v>
          </cell>
          <cell r="L472" t="str">
            <v>YES</v>
          </cell>
          <cell r="M472" t="str">
            <v>NO</v>
          </cell>
          <cell r="N472" t="str">
            <v>NO</v>
          </cell>
        </row>
        <row r="473">
          <cell r="A473">
            <v>4575</v>
          </cell>
          <cell r="B473">
            <v>571</v>
          </cell>
          <cell r="C473">
            <v>6</v>
          </cell>
          <cell r="D473" t="str">
            <v>YES</v>
          </cell>
          <cell r="E473" t="str">
            <v>NO</v>
          </cell>
          <cell r="F473" t="str">
            <v>YES</v>
          </cell>
          <cell r="G473" t="str">
            <v>NO</v>
          </cell>
          <cell r="H473" t="str">
            <v>YES</v>
          </cell>
          <cell r="I473" t="str">
            <v>YES</v>
          </cell>
          <cell r="J473" t="str">
            <v>NO</v>
          </cell>
          <cell r="K473" t="str">
            <v>YES</v>
          </cell>
          <cell r="L473" t="str">
            <v>YES</v>
          </cell>
          <cell r="M473" t="str">
            <v>NO</v>
          </cell>
          <cell r="N473" t="str">
            <v>NO</v>
          </cell>
        </row>
        <row r="474">
          <cell r="A474">
            <v>4580</v>
          </cell>
          <cell r="B474">
            <v>571</v>
          </cell>
          <cell r="C474">
            <v>6</v>
          </cell>
          <cell r="D474" t="str">
            <v>YES</v>
          </cell>
          <cell r="E474" t="str">
            <v>NO</v>
          </cell>
          <cell r="F474" t="str">
            <v>YES</v>
          </cell>
          <cell r="G474" t="str">
            <v>NO</v>
          </cell>
          <cell r="H474" t="str">
            <v>YES</v>
          </cell>
          <cell r="I474" t="str">
            <v>YES</v>
          </cell>
          <cell r="J474" t="str">
            <v>NO</v>
          </cell>
          <cell r="K474" t="str">
            <v>YES</v>
          </cell>
          <cell r="L474" t="str">
            <v>YES</v>
          </cell>
          <cell r="M474" t="str">
            <v>NO</v>
          </cell>
          <cell r="N474" t="str">
            <v>NO</v>
          </cell>
        </row>
        <row r="475">
          <cell r="A475">
            <v>4585</v>
          </cell>
          <cell r="B475">
            <v>571</v>
          </cell>
          <cell r="C475">
            <v>6</v>
          </cell>
          <cell r="D475" t="str">
            <v>YES</v>
          </cell>
          <cell r="E475" t="str">
            <v>NO</v>
          </cell>
          <cell r="F475" t="str">
            <v>YES</v>
          </cell>
          <cell r="G475" t="str">
            <v>NO</v>
          </cell>
          <cell r="H475" t="str">
            <v>YES</v>
          </cell>
          <cell r="I475" t="str">
            <v>YES</v>
          </cell>
          <cell r="J475" t="str">
            <v>NO</v>
          </cell>
          <cell r="K475" t="str">
            <v>YES</v>
          </cell>
          <cell r="L475" t="str">
            <v>YES</v>
          </cell>
          <cell r="M475" t="str">
            <v>NO</v>
          </cell>
          <cell r="N475" t="str">
            <v>NO</v>
          </cell>
        </row>
        <row r="476">
          <cell r="A476">
            <v>4590</v>
          </cell>
          <cell r="B476">
            <v>571</v>
          </cell>
          <cell r="C476">
            <v>6</v>
          </cell>
          <cell r="D476" t="str">
            <v>YES</v>
          </cell>
          <cell r="E476" t="str">
            <v>NO</v>
          </cell>
          <cell r="F476" t="str">
            <v>YES</v>
          </cell>
          <cell r="G476" t="str">
            <v>NO</v>
          </cell>
          <cell r="H476" t="str">
            <v>YES</v>
          </cell>
          <cell r="I476" t="str">
            <v>YES</v>
          </cell>
          <cell r="J476" t="str">
            <v>NO</v>
          </cell>
          <cell r="K476" t="str">
            <v>YES</v>
          </cell>
          <cell r="L476" t="str">
            <v>YES</v>
          </cell>
          <cell r="M476" t="str">
            <v>NO</v>
          </cell>
          <cell r="N476" t="str">
            <v>NO</v>
          </cell>
        </row>
        <row r="477">
          <cell r="A477">
            <v>4595</v>
          </cell>
          <cell r="B477">
            <v>571</v>
          </cell>
          <cell r="C477">
            <v>6</v>
          </cell>
          <cell r="D477" t="str">
            <v>YES</v>
          </cell>
          <cell r="E477" t="str">
            <v>NO</v>
          </cell>
          <cell r="F477" t="str">
            <v>YES</v>
          </cell>
          <cell r="G477" t="str">
            <v>NO</v>
          </cell>
          <cell r="H477" t="str">
            <v>YES</v>
          </cell>
          <cell r="I477" t="str">
            <v>YES</v>
          </cell>
          <cell r="J477" t="str">
            <v>NO</v>
          </cell>
          <cell r="K477" t="str">
            <v>YES</v>
          </cell>
          <cell r="L477" t="str">
            <v>YES</v>
          </cell>
          <cell r="M477" t="str">
            <v>NO</v>
          </cell>
          <cell r="N477" t="str">
            <v>NO</v>
          </cell>
        </row>
        <row r="478">
          <cell r="A478">
            <v>4599</v>
          </cell>
          <cell r="B478">
            <v>571</v>
          </cell>
          <cell r="C478">
            <v>6</v>
          </cell>
          <cell r="D478" t="str">
            <v>YES</v>
          </cell>
          <cell r="E478" t="str">
            <v>NO</v>
          </cell>
          <cell r="F478" t="str">
            <v>YES</v>
          </cell>
          <cell r="G478" t="str">
            <v>NO</v>
          </cell>
          <cell r="H478" t="str">
            <v>YES</v>
          </cell>
          <cell r="I478" t="str">
            <v>YES</v>
          </cell>
          <cell r="J478" t="str">
            <v>NO</v>
          </cell>
          <cell r="K478" t="str">
            <v>YES</v>
          </cell>
          <cell r="L478" t="str">
            <v>YES</v>
          </cell>
          <cell r="M478" t="str">
            <v>NO</v>
          </cell>
          <cell r="N478" t="str">
            <v>NO</v>
          </cell>
        </row>
        <row r="479">
          <cell r="A479">
            <v>4600</v>
          </cell>
          <cell r="B479">
            <v>571</v>
          </cell>
          <cell r="C479">
            <v>7</v>
          </cell>
          <cell r="D479" t="str">
            <v>NO</v>
          </cell>
          <cell r="E479" t="str">
            <v>YES</v>
          </cell>
          <cell r="F479" t="str">
            <v>NO</v>
          </cell>
          <cell r="G479" t="str">
            <v>NO</v>
          </cell>
          <cell r="H479" t="str">
            <v>NO</v>
          </cell>
          <cell r="I479" t="str">
            <v>NO</v>
          </cell>
          <cell r="J479" t="str">
            <v>YES</v>
          </cell>
          <cell r="K479" t="str">
            <v>NO</v>
          </cell>
          <cell r="L479" t="str">
            <v>NO</v>
          </cell>
          <cell r="M479" t="str">
            <v>YES</v>
          </cell>
          <cell r="N479" t="str">
            <v>NO</v>
          </cell>
        </row>
        <row r="480">
          <cell r="A480">
            <v>4605</v>
          </cell>
          <cell r="B480">
            <v>571</v>
          </cell>
          <cell r="C480">
            <v>7</v>
          </cell>
          <cell r="D480" t="str">
            <v>NO</v>
          </cell>
          <cell r="E480" t="str">
            <v>YES</v>
          </cell>
          <cell r="F480" t="str">
            <v>NO</v>
          </cell>
          <cell r="G480" t="str">
            <v>NO</v>
          </cell>
          <cell r="H480" t="str">
            <v>NO</v>
          </cell>
          <cell r="I480" t="str">
            <v>NO</v>
          </cell>
          <cell r="J480" t="str">
            <v>YES</v>
          </cell>
          <cell r="K480" t="str">
            <v>NO</v>
          </cell>
          <cell r="L480" t="str">
            <v>NO</v>
          </cell>
          <cell r="M480" t="str">
            <v>YES</v>
          </cell>
          <cell r="N480" t="str">
            <v>NO</v>
          </cell>
        </row>
        <row r="481">
          <cell r="A481">
            <v>4610</v>
          </cell>
          <cell r="B481">
            <v>571</v>
          </cell>
          <cell r="C481">
            <v>7</v>
          </cell>
          <cell r="D481" t="str">
            <v>NO</v>
          </cell>
          <cell r="E481" t="str">
            <v>YES</v>
          </cell>
          <cell r="F481" t="str">
            <v>NO</v>
          </cell>
          <cell r="G481" t="str">
            <v>NO</v>
          </cell>
          <cell r="H481" t="str">
            <v>NO</v>
          </cell>
          <cell r="I481" t="str">
            <v>NO</v>
          </cell>
          <cell r="J481" t="str">
            <v>YES</v>
          </cell>
          <cell r="K481" t="str">
            <v>NO</v>
          </cell>
          <cell r="L481" t="str">
            <v>NO</v>
          </cell>
          <cell r="M481" t="str">
            <v>YES</v>
          </cell>
          <cell r="N481" t="str">
            <v>NO</v>
          </cell>
        </row>
        <row r="482">
          <cell r="A482">
            <v>4615</v>
          </cell>
          <cell r="B482">
            <v>571</v>
          </cell>
          <cell r="C482">
            <v>7</v>
          </cell>
          <cell r="D482" t="str">
            <v>NO</v>
          </cell>
          <cell r="E482" t="str">
            <v>YES</v>
          </cell>
          <cell r="F482" t="str">
            <v>NO</v>
          </cell>
          <cell r="G482" t="str">
            <v>NO</v>
          </cell>
          <cell r="H482" t="str">
            <v>NO</v>
          </cell>
          <cell r="I482" t="str">
            <v>NO</v>
          </cell>
          <cell r="J482" t="str">
            <v>YES</v>
          </cell>
          <cell r="K482" t="str">
            <v>NO</v>
          </cell>
          <cell r="L482" t="str">
            <v>NO</v>
          </cell>
          <cell r="M482" t="str">
            <v>YES</v>
          </cell>
          <cell r="N482" t="str">
            <v>NO</v>
          </cell>
        </row>
        <row r="483">
          <cell r="A483">
            <v>4620</v>
          </cell>
          <cell r="B483">
            <v>571</v>
          </cell>
          <cell r="C483">
            <v>7</v>
          </cell>
          <cell r="D483" t="str">
            <v>NO</v>
          </cell>
          <cell r="E483" t="str">
            <v>YES</v>
          </cell>
          <cell r="F483" t="str">
            <v>NO</v>
          </cell>
          <cell r="G483" t="str">
            <v>NO</v>
          </cell>
          <cell r="H483" t="str">
            <v>NO</v>
          </cell>
          <cell r="I483" t="str">
            <v>NO</v>
          </cell>
          <cell r="J483" t="str">
            <v>YES</v>
          </cell>
          <cell r="K483" t="str">
            <v>NO</v>
          </cell>
          <cell r="L483" t="str">
            <v>NO</v>
          </cell>
          <cell r="M483" t="str">
            <v>YES</v>
          </cell>
          <cell r="N483" t="str">
            <v>NO</v>
          </cell>
        </row>
        <row r="484">
          <cell r="A484">
            <v>4625</v>
          </cell>
          <cell r="B484">
            <v>571</v>
          </cell>
          <cell r="C484">
            <v>7</v>
          </cell>
          <cell r="D484" t="str">
            <v>NO</v>
          </cell>
          <cell r="E484" t="str">
            <v>YES</v>
          </cell>
          <cell r="F484" t="str">
            <v>NO</v>
          </cell>
          <cell r="G484" t="str">
            <v>NO</v>
          </cell>
          <cell r="H484" t="str">
            <v>NO</v>
          </cell>
          <cell r="I484" t="str">
            <v>NO</v>
          </cell>
          <cell r="J484" t="str">
            <v>YES</v>
          </cell>
          <cell r="K484" t="str">
            <v>NO</v>
          </cell>
          <cell r="L484" t="str">
            <v>NO</v>
          </cell>
          <cell r="M484" t="str">
            <v>YES</v>
          </cell>
          <cell r="N484" t="str">
            <v>NO</v>
          </cell>
        </row>
        <row r="485">
          <cell r="A485">
            <v>4630</v>
          </cell>
          <cell r="B485">
            <v>571</v>
          </cell>
          <cell r="C485">
            <v>7</v>
          </cell>
          <cell r="D485" t="str">
            <v>NO</v>
          </cell>
          <cell r="E485" t="str">
            <v>YES</v>
          </cell>
          <cell r="F485" t="str">
            <v>NO</v>
          </cell>
          <cell r="G485" t="str">
            <v>NO</v>
          </cell>
          <cell r="H485" t="str">
            <v>NO</v>
          </cell>
          <cell r="I485" t="str">
            <v>NO</v>
          </cell>
          <cell r="J485" t="str">
            <v>YES</v>
          </cell>
          <cell r="K485" t="str">
            <v>NO</v>
          </cell>
          <cell r="L485" t="str">
            <v>NO</v>
          </cell>
          <cell r="M485" t="str">
            <v>YES</v>
          </cell>
          <cell r="N485" t="str">
            <v>NO</v>
          </cell>
        </row>
        <row r="486">
          <cell r="A486">
            <v>4635</v>
          </cell>
          <cell r="B486">
            <v>571</v>
          </cell>
          <cell r="C486">
            <v>7</v>
          </cell>
          <cell r="D486" t="str">
            <v>NO</v>
          </cell>
          <cell r="E486" t="str">
            <v>YES</v>
          </cell>
          <cell r="F486" t="str">
            <v>NO</v>
          </cell>
          <cell r="G486" t="str">
            <v>NO</v>
          </cell>
          <cell r="H486" t="str">
            <v>NO</v>
          </cell>
          <cell r="I486" t="str">
            <v>NO</v>
          </cell>
          <cell r="J486" t="str">
            <v>YES</v>
          </cell>
          <cell r="K486" t="str">
            <v>NO</v>
          </cell>
          <cell r="L486" t="str">
            <v>NO</v>
          </cell>
          <cell r="M486" t="str">
            <v>YES</v>
          </cell>
          <cell r="N486" t="str">
            <v>NO</v>
          </cell>
        </row>
        <row r="487">
          <cell r="A487">
            <v>4640</v>
          </cell>
          <cell r="B487">
            <v>571</v>
          </cell>
          <cell r="C487">
            <v>7</v>
          </cell>
          <cell r="D487" t="str">
            <v>NO</v>
          </cell>
          <cell r="E487" t="str">
            <v>YES</v>
          </cell>
          <cell r="F487" t="str">
            <v>NO</v>
          </cell>
          <cell r="G487" t="str">
            <v>NO</v>
          </cell>
          <cell r="H487" t="str">
            <v>NO</v>
          </cell>
          <cell r="I487" t="str">
            <v>NO</v>
          </cell>
          <cell r="J487" t="str">
            <v>YES</v>
          </cell>
          <cell r="K487" t="str">
            <v>NO</v>
          </cell>
          <cell r="L487" t="str">
            <v>NO</v>
          </cell>
          <cell r="M487" t="str">
            <v>YES</v>
          </cell>
          <cell r="N487" t="str">
            <v>NO</v>
          </cell>
        </row>
        <row r="488">
          <cell r="A488">
            <v>4650</v>
          </cell>
          <cell r="B488">
            <v>571</v>
          </cell>
          <cell r="C488">
            <v>7</v>
          </cell>
          <cell r="D488" t="str">
            <v>NO</v>
          </cell>
          <cell r="E488" t="str">
            <v>YES</v>
          </cell>
          <cell r="F488" t="str">
            <v>NO</v>
          </cell>
          <cell r="G488" t="str">
            <v>NO</v>
          </cell>
          <cell r="H488" t="str">
            <v>NO</v>
          </cell>
          <cell r="I488" t="str">
            <v>NO</v>
          </cell>
          <cell r="J488" t="str">
            <v>YES</v>
          </cell>
          <cell r="K488" t="str">
            <v>NO</v>
          </cell>
          <cell r="L488" t="str">
            <v>NO</v>
          </cell>
          <cell r="M488" t="str">
            <v>YES</v>
          </cell>
          <cell r="N488" t="str">
            <v>NO</v>
          </cell>
        </row>
        <row r="489">
          <cell r="A489">
            <v>4655</v>
          </cell>
          <cell r="B489">
            <v>571</v>
          </cell>
          <cell r="C489">
            <v>7</v>
          </cell>
          <cell r="D489" t="str">
            <v>NO</v>
          </cell>
          <cell r="E489" t="str">
            <v>YES</v>
          </cell>
          <cell r="F489" t="str">
            <v>NO</v>
          </cell>
          <cell r="G489" t="str">
            <v>NO</v>
          </cell>
          <cell r="H489" t="str">
            <v>NO</v>
          </cell>
          <cell r="I489" t="str">
            <v>NO</v>
          </cell>
          <cell r="J489" t="str">
            <v>YES</v>
          </cell>
          <cell r="K489" t="str">
            <v>NO</v>
          </cell>
          <cell r="L489" t="str">
            <v>NO</v>
          </cell>
          <cell r="M489" t="str">
            <v>YES</v>
          </cell>
          <cell r="N489" t="str">
            <v>NO</v>
          </cell>
        </row>
        <row r="490">
          <cell r="A490">
            <v>4660</v>
          </cell>
          <cell r="B490">
            <v>571</v>
          </cell>
          <cell r="C490">
            <v>7</v>
          </cell>
          <cell r="D490" t="str">
            <v>NO</v>
          </cell>
          <cell r="E490" t="str">
            <v>YES</v>
          </cell>
          <cell r="F490" t="str">
            <v>NO</v>
          </cell>
          <cell r="G490" t="str">
            <v>NO</v>
          </cell>
          <cell r="H490" t="str">
            <v>NO</v>
          </cell>
          <cell r="I490" t="str">
            <v>NO</v>
          </cell>
          <cell r="J490" t="str">
            <v>YES</v>
          </cell>
          <cell r="K490" t="str">
            <v>NO</v>
          </cell>
          <cell r="L490" t="str">
            <v>NO</v>
          </cell>
          <cell r="M490" t="str">
            <v>YES</v>
          </cell>
          <cell r="N490" t="str">
            <v>NO</v>
          </cell>
        </row>
        <row r="491">
          <cell r="A491">
            <v>4675</v>
          </cell>
          <cell r="B491">
            <v>571</v>
          </cell>
          <cell r="C491">
            <v>7</v>
          </cell>
          <cell r="D491" t="str">
            <v>NO</v>
          </cell>
          <cell r="E491" t="str">
            <v>YES</v>
          </cell>
          <cell r="F491" t="str">
            <v>NO</v>
          </cell>
          <cell r="G491" t="str">
            <v>NO</v>
          </cell>
          <cell r="H491" t="str">
            <v>NO</v>
          </cell>
          <cell r="I491" t="str">
            <v>NO</v>
          </cell>
          <cell r="J491" t="str">
            <v>YES</v>
          </cell>
          <cell r="K491" t="str">
            <v>NO</v>
          </cell>
          <cell r="L491" t="str">
            <v>NO</v>
          </cell>
          <cell r="M491" t="str">
            <v>YES</v>
          </cell>
          <cell r="N491" t="str">
            <v>NO</v>
          </cell>
        </row>
        <row r="492">
          <cell r="A492">
            <v>4685</v>
          </cell>
          <cell r="B492">
            <v>571</v>
          </cell>
          <cell r="C492">
            <v>7</v>
          </cell>
          <cell r="D492" t="str">
            <v>NO</v>
          </cell>
          <cell r="E492" t="str">
            <v>YES</v>
          </cell>
          <cell r="F492" t="str">
            <v>NO</v>
          </cell>
          <cell r="G492" t="str">
            <v>NO</v>
          </cell>
          <cell r="H492" t="str">
            <v>NO</v>
          </cell>
          <cell r="I492" t="str">
            <v>NO</v>
          </cell>
          <cell r="J492" t="str">
            <v>YES</v>
          </cell>
          <cell r="K492" t="str">
            <v>NO</v>
          </cell>
          <cell r="L492" t="str">
            <v>NO</v>
          </cell>
          <cell r="M492" t="str">
            <v>YES</v>
          </cell>
          <cell r="N492" t="str">
            <v>NO</v>
          </cell>
        </row>
        <row r="493">
          <cell r="A493">
            <v>4690</v>
          </cell>
          <cell r="B493">
            <v>571</v>
          </cell>
          <cell r="C493">
            <v>7</v>
          </cell>
          <cell r="D493" t="str">
            <v>NO</v>
          </cell>
          <cell r="E493" t="str">
            <v>YES</v>
          </cell>
          <cell r="F493" t="str">
            <v>NO</v>
          </cell>
          <cell r="G493" t="str">
            <v>NO</v>
          </cell>
          <cell r="H493" t="str">
            <v>NO</v>
          </cell>
          <cell r="I493" t="str">
            <v>NO</v>
          </cell>
          <cell r="J493" t="str">
            <v>YES</v>
          </cell>
          <cell r="K493" t="str">
            <v>NO</v>
          </cell>
          <cell r="L493" t="str">
            <v>NO</v>
          </cell>
          <cell r="M493" t="str">
            <v>YES</v>
          </cell>
          <cell r="N493" t="str">
            <v>NO</v>
          </cell>
        </row>
        <row r="494">
          <cell r="A494">
            <v>4700</v>
          </cell>
          <cell r="B494">
            <v>571</v>
          </cell>
          <cell r="C494">
            <v>7</v>
          </cell>
          <cell r="D494" t="str">
            <v>NO</v>
          </cell>
          <cell r="E494" t="str">
            <v>YES</v>
          </cell>
          <cell r="F494" t="str">
            <v>NO</v>
          </cell>
          <cell r="G494" t="str">
            <v>NO</v>
          </cell>
          <cell r="H494" t="str">
            <v>NO</v>
          </cell>
          <cell r="I494" t="str">
            <v>NO</v>
          </cell>
          <cell r="J494" t="str">
            <v>YES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NO</v>
          </cell>
        </row>
        <row r="495">
          <cell r="A495">
            <v>4701</v>
          </cell>
          <cell r="B495">
            <v>571</v>
          </cell>
          <cell r="C495">
            <v>7</v>
          </cell>
          <cell r="D495" t="str">
            <v>NO</v>
          </cell>
          <cell r="E495" t="str">
            <v>YES</v>
          </cell>
          <cell r="F495" t="str">
            <v>NO</v>
          </cell>
          <cell r="G495" t="str">
            <v>NO</v>
          </cell>
          <cell r="H495" t="str">
            <v>NO</v>
          </cell>
          <cell r="I495" t="str">
            <v>NO</v>
          </cell>
          <cell r="J495" t="str">
            <v>YES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NO</v>
          </cell>
        </row>
        <row r="496">
          <cell r="A496">
            <v>4704</v>
          </cell>
          <cell r="B496">
            <v>571</v>
          </cell>
          <cell r="C496">
            <v>7</v>
          </cell>
          <cell r="D496" t="str">
            <v>NO</v>
          </cell>
          <cell r="E496" t="str">
            <v>YES</v>
          </cell>
          <cell r="F496" t="str">
            <v>NO</v>
          </cell>
          <cell r="G496" t="str">
            <v>NO</v>
          </cell>
          <cell r="H496" t="str">
            <v>NO</v>
          </cell>
          <cell r="I496" t="str">
            <v>NO</v>
          </cell>
          <cell r="J496" t="str">
            <v>YES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NO</v>
          </cell>
        </row>
        <row r="497">
          <cell r="A497">
            <v>4705</v>
          </cell>
          <cell r="B497">
            <v>571</v>
          </cell>
          <cell r="C497">
            <v>7</v>
          </cell>
          <cell r="D497" t="str">
            <v>NO</v>
          </cell>
          <cell r="E497" t="str">
            <v>YES</v>
          </cell>
          <cell r="F497" t="str">
            <v>NO</v>
          </cell>
          <cell r="G497" t="str">
            <v>NO</v>
          </cell>
          <cell r="H497" t="str">
            <v>NO</v>
          </cell>
          <cell r="I497" t="str">
            <v>NO</v>
          </cell>
          <cell r="J497" t="str">
            <v>YES</v>
          </cell>
          <cell r="K497" t="str">
            <v>NO</v>
          </cell>
          <cell r="L497" t="str">
            <v>NO</v>
          </cell>
          <cell r="M497" t="str">
            <v>YES</v>
          </cell>
          <cell r="N497" t="str">
            <v>NO</v>
          </cell>
        </row>
        <row r="498">
          <cell r="A498">
            <v>4709</v>
          </cell>
          <cell r="B498">
            <v>571</v>
          </cell>
          <cell r="C498">
            <v>7</v>
          </cell>
          <cell r="D498" t="str">
            <v>NO</v>
          </cell>
          <cell r="E498" t="str">
            <v>YES</v>
          </cell>
          <cell r="F498" t="str">
            <v>NO</v>
          </cell>
          <cell r="G498" t="str">
            <v>NO</v>
          </cell>
          <cell r="H498" t="str">
            <v>NO</v>
          </cell>
          <cell r="I498" t="str">
            <v>NO</v>
          </cell>
          <cell r="J498" t="str">
            <v>YES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NO</v>
          </cell>
        </row>
        <row r="499">
          <cell r="A499">
            <v>4710</v>
          </cell>
          <cell r="B499">
            <v>571</v>
          </cell>
          <cell r="C499">
            <v>7</v>
          </cell>
          <cell r="D499" t="str">
            <v>NO</v>
          </cell>
          <cell r="E499" t="str">
            <v>YES</v>
          </cell>
          <cell r="F499" t="str">
            <v>NO</v>
          </cell>
          <cell r="G499" t="str">
            <v>NO</v>
          </cell>
          <cell r="H499" t="str">
            <v>NO</v>
          </cell>
          <cell r="I499" t="str">
            <v>NO</v>
          </cell>
          <cell r="J499" t="str">
            <v>YES</v>
          </cell>
          <cell r="K499" t="str">
            <v>NO</v>
          </cell>
          <cell r="L499" t="str">
            <v>NO</v>
          </cell>
          <cell r="M499" t="str">
            <v>YES</v>
          </cell>
          <cell r="N499" t="str">
            <v>NO</v>
          </cell>
        </row>
        <row r="500">
          <cell r="A500">
            <v>4714</v>
          </cell>
          <cell r="B500">
            <v>571</v>
          </cell>
          <cell r="C500">
            <v>7</v>
          </cell>
          <cell r="D500" t="str">
            <v>NO</v>
          </cell>
          <cell r="E500" t="str">
            <v>YES</v>
          </cell>
          <cell r="F500" t="str">
            <v>NO</v>
          </cell>
          <cell r="G500" t="str">
            <v>NO</v>
          </cell>
          <cell r="H500" t="str">
            <v>NO</v>
          </cell>
          <cell r="I500" t="str">
            <v>NO</v>
          </cell>
          <cell r="J500" t="str">
            <v>YES</v>
          </cell>
          <cell r="K500" t="str">
            <v>NO</v>
          </cell>
          <cell r="L500" t="str">
            <v>NO</v>
          </cell>
          <cell r="M500" t="str">
            <v>YES</v>
          </cell>
          <cell r="N500" t="str">
            <v>NO</v>
          </cell>
        </row>
        <row r="501">
          <cell r="A501">
            <v>4715</v>
          </cell>
          <cell r="B501">
            <v>571</v>
          </cell>
          <cell r="C501">
            <v>7</v>
          </cell>
          <cell r="D501" t="str">
            <v>NO</v>
          </cell>
          <cell r="E501" t="str">
            <v>YES</v>
          </cell>
          <cell r="F501" t="str">
            <v>NO</v>
          </cell>
          <cell r="G501" t="str">
            <v>NO</v>
          </cell>
          <cell r="H501" t="str">
            <v>NO</v>
          </cell>
          <cell r="I501" t="str">
            <v>NO</v>
          </cell>
          <cell r="J501" t="str">
            <v>YES</v>
          </cell>
          <cell r="K501" t="str">
            <v>NO</v>
          </cell>
          <cell r="L501" t="str">
            <v>NO</v>
          </cell>
          <cell r="M501" t="str">
            <v>YES</v>
          </cell>
          <cell r="N501" t="str">
            <v>NO</v>
          </cell>
        </row>
        <row r="502">
          <cell r="A502">
            <v>4719</v>
          </cell>
          <cell r="B502">
            <v>571</v>
          </cell>
          <cell r="C502">
            <v>7</v>
          </cell>
          <cell r="D502" t="str">
            <v>NO</v>
          </cell>
          <cell r="E502" t="str">
            <v>YES</v>
          </cell>
          <cell r="F502" t="str">
            <v>NO</v>
          </cell>
          <cell r="G502" t="str">
            <v>NO</v>
          </cell>
          <cell r="H502" t="str">
            <v>NO</v>
          </cell>
          <cell r="I502" t="str">
            <v>NO</v>
          </cell>
          <cell r="J502" t="str">
            <v>YES</v>
          </cell>
          <cell r="K502" t="str">
            <v>NO</v>
          </cell>
          <cell r="L502" t="str">
            <v>NO</v>
          </cell>
          <cell r="M502" t="str">
            <v>YES</v>
          </cell>
          <cell r="N502" t="str">
            <v>NO</v>
          </cell>
        </row>
        <row r="503">
          <cell r="A503">
            <v>4720</v>
          </cell>
          <cell r="B503">
            <v>571</v>
          </cell>
          <cell r="C503">
            <v>7</v>
          </cell>
          <cell r="D503" t="str">
            <v>NO</v>
          </cell>
          <cell r="E503" t="str">
            <v>YES</v>
          </cell>
          <cell r="F503" t="str">
            <v>NO</v>
          </cell>
          <cell r="G503" t="str">
            <v>NO</v>
          </cell>
          <cell r="H503" t="str">
            <v>NO</v>
          </cell>
          <cell r="I503" t="str">
            <v>NO</v>
          </cell>
          <cell r="J503" t="str">
            <v>YES</v>
          </cell>
          <cell r="K503" t="str">
            <v>NO</v>
          </cell>
          <cell r="L503" t="str">
            <v>NO</v>
          </cell>
          <cell r="M503" t="str">
            <v>YES</v>
          </cell>
          <cell r="N503" t="str">
            <v>NO</v>
          </cell>
        </row>
        <row r="504">
          <cell r="A504">
            <v>4730</v>
          </cell>
          <cell r="B504">
            <v>571</v>
          </cell>
          <cell r="C504">
            <v>7</v>
          </cell>
          <cell r="D504" t="str">
            <v>NO</v>
          </cell>
          <cell r="E504" t="str">
            <v>YES</v>
          </cell>
          <cell r="F504" t="str">
            <v>NO</v>
          </cell>
          <cell r="G504" t="str">
            <v>NO</v>
          </cell>
          <cell r="H504" t="str">
            <v>NO</v>
          </cell>
          <cell r="I504" t="str">
            <v>NO</v>
          </cell>
          <cell r="J504" t="str">
            <v>YES</v>
          </cell>
          <cell r="K504" t="str">
            <v>NO</v>
          </cell>
          <cell r="L504" t="str">
            <v>NO</v>
          </cell>
          <cell r="M504" t="str">
            <v>YES</v>
          </cell>
          <cell r="N504" t="str">
            <v>NO</v>
          </cell>
        </row>
        <row r="505">
          <cell r="A505">
            <v>4740</v>
          </cell>
          <cell r="B505">
            <v>571</v>
          </cell>
          <cell r="C505">
            <v>7</v>
          </cell>
          <cell r="D505" t="str">
            <v>NO</v>
          </cell>
          <cell r="E505" t="str">
            <v>YES</v>
          </cell>
          <cell r="F505" t="str">
            <v>NO</v>
          </cell>
          <cell r="G505" t="str">
            <v>NO</v>
          </cell>
          <cell r="H505" t="str">
            <v>NO</v>
          </cell>
          <cell r="I505" t="str">
            <v>NO</v>
          </cell>
          <cell r="J505" t="str">
            <v>YES</v>
          </cell>
          <cell r="K505" t="str">
            <v>NO</v>
          </cell>
          <cell r="L505" t="str">
            <v>NO</v>
          </cell>
          <cell r="M505" t="str">
            <v>YES</v>
          </cell>
          <cell r="N505" t="str">
            <v>NO</v>
          </cell>
        </row>
        <row r="506">
          <cell r="A506">
            <v>4745</v>
          </cell>
          <cell r="B506">
            <v>571</v>
          </cell>
          <cell r="C506">
            <v>7</v>
          </cell>
          <cell r="D506" t="str">
            <v>NO</v>
          </cell>
          <cell r="E506" t="str">
            <v>YES</v>
          </cell>
          <cell r="F506" t="str">
            <v>NO</v>
          </cell>
          <cell r="G506" t="str">
            <v>NO</v>
          </cell>
          <cell r="H506" t="str">
            <v>NO</v>
          </cell>
          <cell r="I506" t="str">
            <v>NO</v>
          </cell>
          <cell r="J506" t="str">
            <v>YES</v>
          </cell>
          <cell r="K506" t="str">
            <v>NO</v>
          </cell>
          <cell r="L506" t="str">
            <v>NO</v>
          </cell>
          <cell r="M506" t="str">
            <v>YES</v>
          </cell>
          <cell r="N506" t="str">
            <v>NO</v>
          </cell>
        </row>
        <row r="507">
          <cell r="A507">
            <v>4750</v>
          </cell>
          <cell r="B507">
            <v>571</v>
          </cell>
          <cell r="C507">
            <v>7</v>
          </cell>
          <cell r="D507" t="str">
            <v>NO</v>
          </cell>
          <cell r="E507" t="str">
            <v>YES</v>
          </cell>
          <cell r="F507" t="str">
            <v>NO</v>
          </cell>
          <cell r="G507" t="str">
            <v>NO</v>
          </cell>
          <cell r="H507" t="str">
            <v>NO</v>
          </cell>
          <cell r="I507" t="str">
            <v>NO</v>
          </cell>
          <cell r="J507" t="str">
            <v>YES</v>
          </cell>
          <cell r="K507" t="str">
            <v>NO</v>
          </cell>
          <cell r="L507" t="str">
            <v>NO</v>
          </cell>
          <cell r="M507" t="str">
            <v>YES</v>
          </cell>
          <cell r="N507" t="str">
            <v>NO</v>
          </cell>
        </row>
        <row r="508">
          <cell r="A508">
            <v>4755</v>
          </cell>
          <cell r="B508">
            <v>571</v>
          </cell>
          <cell r="C508">
            <v>7</v>
          </cell>
          <cell r="D508" t="str">
            <v>NO</v>
          </cell>
          <cell r="E508" t="str">
            <v>YES</v>
          </cell>
          <cell r="F508" t="str">
            <v>NO</v>
          </cell>
          <cell r="G508" t="str">
            <v>NO</v>
          </cell>
          <cell r="H508" t="str">
            <v>NO</v>
          </cell>
          <cell r="I508" t="str">
            <v>NO</v>
          </cell>
          <cell r="J508" t="str">
            <v>YES</v>
          </cell>
          <cell r="K508" t="str">
            <v>NO</v>
          </cell>
          <cell r="L508" t="str">
            <v>NO</v>
          </cell>
          <cell r="M508" t="str">
            <v>YES</v>
          </cell>
          <cell r="N508" t="str">
            <v>NO</v>
          </cell>
        </row>
        <row r="509">
          <cell r="A509">
            <v>4760</v>
          </cell>
          <cell r="B509">
            <v>571</v>
          </cell>
          <cell r="C509">
            <v>7</v>
          </cell>
          <cell r="D509" t="str">
            <v>NO</v>
          </cell>
          <cell r="E509" t="str">
            <v>YES</v>
          </cell>
          <cell r="F509" t="str">
            <v>NO</v>
          </cell>
          <cell r="G509" t="str">
            <v>NO</v>
          </cell>
          <cell r="H509" t="str">
            <v>NO</v>
          </cell>
          <cell r="I509" t="str">
            <v>NO</v>
          </cell>
          <cell r="J509" t="str">
            <v>YES</v>
          </cell>
          <cell r="K509" t="str">
            <v>NO</v>
          </cell>
          <cell r="L509" t="str">
            <v>NO</v>
          </cell>
          <cell r="M509" t="str">
            <v>YES</v>
          </cell>
          <cell r="N509" t="str">
            <v>NO</v>
          </cell>
        </row>
        <row r="510">
          <cell r="A510">
            <v>4764</v>
          </cell>
          <cell r="B510">
            <v>571</v>
          </cell>
          <cell r="C510">
            <v>7</v>
          </cell>
          <cell r="D510" t="str">
            <v>NO</v>
          </cell>
          <cell r="E510" t="str">
            <v>YES</v>
          </cell>
          <cell r="F510" t="str">
            <v>NO</v>
          </cell>
          <cell r="G510" t="str">
            <v>NO</v>
          </cell>
          <cell r="H510" t="str">
            <v>NO</v>
          </cell>
          <cell r="I510" t="str">
            <v>NO</v>
          </cell>
          <cell r="J510" t="str">
            <v>YES</v>
          </cell>
          <cell r="K510" t="str">
            <v>NO</v>
          </cell>
          <cell r="L510" t="str">
            <v>NO</v>
          </cell>
          <cell r="M510" t="str">
            <v>YES</v>
          </cell>
          <cell r="N510" t="str">
            <v>NO</v>
          </cell>
        </row>
        <row r="511">
          <cell r="A511">
            <v>4765</v>
          </cell>
          <cell r="B511">
            <v>571</v>
          </cell>
          <cell r="C511">
            <v>7</v>
          </cell>
          <cell r="D511" t="str">
            <v>NO</v>
          </cell>
          <cell r="E511" t="str">
            <v>YES</v>
          </cell>
          <cell r="F511" t="str">
            <v>NO</v>
          </cell>
          <cell r="G511" t="str">
            <v>NO</v>
          </cell>
          <cell r="H511" t="str">
            <v>NO</v>
          </cell>
          <cell r="I511" t="str">
            <v>NO</v>
          </cell>
          <cell r="J511" t="str">
            <v>YES</v>
          </cell>
          <cell r="K511" t="str">
            <v>NO</v>
          </cell>
          <cell r="L511" t="str">
            <v>NO</v>
          </cell>
          <cell r="M511" t="str">
            <v>YES</v>
          </cell>
          <cell r="N511" t="str">
            <v>NO</v>
          </cell>
        </row>
        <row r="512">
          <cell r="A512">
            <v>4770</v>
          </cell>
          <cell r="B512">
            <v>571</v>
          </cell>
          <cell r="C512">
            <v>7</v>
          </cell>
          <cell r="D512" t="str">
            <v>NO</v>
          </cell>
          <cell r="E512" t="str">
            <v>YES</v>
          </cell>
          <cell r="F512" t="str">
            <v>NO</v>
          </cell>
          <cell r="G512" t="str">
            <v>NO</v>
          </cell>
          <cell r="H512" t="str">
            <v>NO</v>
          </cell>
          <cell r="I512" t="str">
            <v>NO</v>
          </cell>
          <cell r="J512" t="str">
            <v>YES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NO</v>
          </cell>
        </row>
        <row r="513">
          <cell r="A513">
            <v>4775</v>
          </cell>
          <cell r="B513">
            <v>571</v>
          </cell>
          <cell r="C513">
            <v>7</v>
          </cell>
          <cell r="D513" t="str">
            <v>NO</v>
          </cell>
          <cell r="E513" t="str">
            <v>YES</v>
          </cell>
          <cell r="F513" t="str">
            <v>NO</v>
          </cell>
          <cell r="G513" t="str">
            <v>NO</v>
          </cell>
          <cell r="H513" t="str">
            <v>NO</v>
          </cell>
          <cell r="I513" t="str">
            <v>NO</v>
          </cell>
          <cell r="J513" t="str">
            <v>YES</v>
          </cell>
          <cell r="K513" t="str">
            <v>NO</v>
          </cell>
          <cell r="L513" t="str">
            <v>NO</v>
          </cell>
          <cell r="M513" t="str">
            <v>YES</v>
          </cell>
          <cell r="N513" t="str">
            <v>NO</v>
          </cell>
        </row>
        <row r="514">
          <cell r="A514">
            <v>4780</v>
          </cell>
          <cell r="B514">
            <v>571</v>
          </cell>
          <cell r="C514">
            <v>7</v>
          </cell>
          <cell r="D514" t="str">
            <v>NO</v>
          </cell>
          <cell r="E514" t="str">
            <v>YES</v>
          </cell>
          <cell r="F514" t="str">
            <v>NO</v>
          </cell>
          <cell r="G514" t="str">
            <v>NO</v>
          </cell>
          <cell r="H514" t="str">
            <v>NO</v>
          </cell>
          <cell r="I514" t="str">
            <v>NO</v>
          </cell>
          <cell r="J514" t="str">
            <v>YES</v>
          </cell>
          <cell r="K514" t="str">
            <v>NO</v>
          </cell>
          <cell r="L514" t="str">
            <v>NO</v>
          </cell>
          <cell r="M514" t="str">
            <v>YES</v>
          </cell>
          <cell r="N514" t="str">
            <v>NO</v>
          </cell>
        </row>
        <row r="515">
          <cell r="A515">
            <v>4785</v>
          </cell>
          <cell r="B515">
            <v>571</v>
          </cell>
          <cell r="C515">
            <v>7</v>
          </cell>
          <cell r="D515" t="str">
            <v>NO</v>
          </cell>
          <cell r="E515" t="str">
            <v>YES</v>
          </cell>
          <cell r="F515" t="str">
            <v>NO</v>
          </cell>
          <cell r="G515" t="str">
            <v>NO</v>
          </cell>
          <cell r="H515" t="str">
            <v>NO</v>
          </cell>
          <cell r="I515" t="str">
            <v>NO</v>
          </cell>
          <cell r="J515" t="str">
            <v>YES</v>
          </cell>
          <cell r="K515" t="str">
            <v>NO</v>
          </cell>
          <cell r="L515" t="str">
            <v>NO</v>
          </cell>
          <cell r="M515" t="str">
            <v>YES</v>
          </cell>
          <cell r="N515" t="str">
            <v>NO</v>
          </cell>
        </row>
        <row r="516">
          <cell r="A516">
            <v>4795</v>
          </cell>
          <cell r="B516">
            <v>571</v>
          </cell>
          <cell r="C516">
            <v>7</v>
          </cell>
          <cell r="D516" t="str">
            <v>NO</v>
          </cell>
          <cell r="E516" t="str">
            <v>YES</v>
          </cell>
          <cell r="F516" t="str">
            <v>NO</v>
          </cell>
          <cell r="G516" t="str">
            <v>NO</v>
          </cell>
          <cell r="H516" t="str">
            <v>NO</v>
          </cell>
          <cell r="I516" t="str">
            <v>NO</v>
          </cell>
          <cell r="J516" t="str">
            <v>YES</v>
          </cell>
          <cell r="K516" t="str">
            <v>NO</v>
          </cell>
          <cell r="L516" t="str">
            <v>NO</v>
          </cell>
          <cell r="M516" t="str">
            <v>YES</v>
          </cell>
          <cell r="N516" t="str">
            <v>NO</v>
          </cell>
        </row>
        <row r="517">
          <cell r="A517">
            <v>4800</v>
          </cell>
          <cell r="B517">
            <v>571</v>
          </cell>
          <cell r="C517">
            <v>7</v>
          </cell>
          <cell r="D517" t="str">
            <v>NO</v>
          </cell>
          <cell r="E517" t="str">
            <v>YES</v>
          </cell>
          <cell r="F517" t="str">
            <v>NO</v>
          </cell>
          <cell r="G517" t="str">
            <v>NO</v>
          </cell>
          <cell r="H517" t="str">
            <v>NO</v>
          </cell>
          <cell r="I517" t="str">
            <v>NO</v>
          </cell>
          <cell r="J517" t="str">
            <v>YES</v>
          </cell>
          <cell r="K517" t="str">
            <v>NO</v>
          </cell>
          <cell r="L517" t="str">
            <v>NO</v>
          </cell>
          <cell r="M517" t="str">
            <v>YES</v>
          </cell>
          <cell r="N517" t="str">
            <v>NO</v>
          </cell>
        </row>
        <row r="518">
          <cell r="A518">
            <v>4804</v>
          </cell>
          <cell r="B518">
            <v>571</v>
          </cell>
          <cell r="C518">
            <v>7</v>
          </cell>
          <cell r="D518" t="str">
            <v>NO</v>
          </cell>
          <cell r="E518" t="str">
            <v>YES</v>
          </cell>
          <cell r="F518" t="str">
            <v>NO</v>
          </cell>
          <cell r="G518" t="str">
            <v>NO</v>
          </cell>
          <cell r="H518" t="str">
            <v>NO</v>
          </cell>
          <cell r="I518" t="str">
            <v>NO</v>
          </cell>
          <cell r="J518" t="str">
            <v>YES</v>
          </cell>
          <cell r="K518" t="str">
            <v>NO</v>
          </cell>
          <cell r="L518" t="str">
            <v>NO</v>
          </cell>
          <cell r="M518" t="str">
            <v>YES</v>
          </cell>
          <cell r="N518" t="str">
            <v>NO</v>
          </cell>
        </row>
        <row r="519">
          <cell r="A519">
            <v>4805</v>
          </cell>
          <cell r="B519">
            <v>571</v>
          </cell>
          <cell r="C519">
            <v>7</v>
          </cell>
          <cell r="D519" t="str">
            <v>NO</v>
          </cell>
          <cell r="E519" t="str">
            <v>YES</v>
          </cell>
          <cell r="F519" t="str">
            <v>NO</v>
          </cell>
          <cell r="G519" t="str">
            <v>NO</v>
          </cell>
          <cell r="H519" t="str">
            <v>NO</v>
          </cell>
          <cell r="I519" t="str">
            <v>NO</v>
          </cell>
          <cell r="J519" t="str">
            <v>YES</v>
          </cell>
          <cell r="K519" t="str">
            <v>NO</v>
          </cell>
          <cell r="L519" t="str">
            <v>NO</v>
          </cell>
          <cell r="M519" t="str">
            <v>YES</v>
          </cell>
          <cell r="N519" t="str">
            <v>NO</v>
          </cell>
        </row>
        <row r="520">
          <cell r="A520">
            <v>4809</v>
          </cell>
          <cell r="B520">
            <v>571</v>
          </cell>
          <cell r="C520">
            <v>7</v>
          </cell>
          <cell r="D520" t="str">
            <v>NO</v>
          </cell>
          <cell r="E520" t="str">
            <v>YES</v>
          </cell>
          <cell r="F520" t="str">
            <v>NO</v>
          </cell>
          <cell r="G520" t="str">
            <v>NO</v>
          </cell>
          <cell r="H520" t="str">
            <v>NO</v>
          </cell>
          <cell r="I520" t="str">
            <v>NO</v>
          </cell>
          <cell r="J520" t="str">
            <v>YES</v>
          </cell>
          <cell r="K520" t="str">
            <v>NO</v>
          </cell>
          <cell r="L520" t="str">
            <v>NO</v>
          </cell>
          <cell r="M520" t="str">
            <v>YES</v>
          </cell>
          <cell r="N520" t="str">
            <v>NO</v>
          </cell>
        </row>
        <row r="521">
          <cell r="A521">
            <v>4810</v>
          </cell>
          <cell r="B521">
            <v>571</v>
          </cell>
          <cell r="C521">
            <v>7</v>
          </cell>
          <cell r="D521" t="str">
            <v>NO</v>
          </cell>
          <cell r="E521" t="str">
            <v>YES</v>
          </cell>
          <cell r="F521" t="str">
            <v>NO</v>
          </cell>
          <cell r="G521" t="str">
            <v>NO</v>
          </cell>
          <cell r="H521" t="str">
            <v>NO</v>
          </cell>
          <cell r="I521" t="str">
            <v>NO</v>
          </cell>
          <cell r="J521" t="str">
            <v>YES</v>
          </cell>
          <cell r="K521" t="str">
            <v>NO</v>
          </cell>
          <cell r="L521" t="str">
            <v>NO</v>
          </cell>
          <cell r="M521" t="str">
            <v>YES</v>
          </cell>
          <cell r="N521" t="str">
            <v>NO</v>
          </cell>
        </row>
        <row r="522">
          <cell r="A522">
            <v>4811</v>
          </cell>
          <cell r="B522">
            <v>571</v>
          </cell>
          <cell r="C522">
            <v>7</v>
          </cell>
          <cell r="D522" t="str">
            <v>NO</v>
          </cell>
          <cell r="E522" t="str">
            <v>YES</v>
          </cell>
          <cell r="F522" t="str">
            <v>NO</v>
          </cell>
          <cell r="G522" t="str">
            <v>NO</v>
          </cell>
          <cell r="H522" t="str">
            <v>NO</v>
          </cell>
          <cell r="I522" t="str">
            <v>NO</v>
          </cell>
          <cell r="J522" t="str">
            <v>YES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NO</v>
          </cell>
        </row>
        <row r="523">
          <cell r="A523">
            <v>4814</v>
          </cell>
          <cell r="B523">
            <v>571</v>
          </cell>
          <cell r="C523">
            <v>7</v>
          </cell>
          <cell r="D523" t="str">
            <v>NO</v>
          </cell>
          <cell r="E523" t="str">
            <v>YES</v>
          </cell>
          <cell r="F523" t="str">
            <v>NO</v>
          </cell>
          <cell r="G523" t="str">
            <v>NO</v>
          </cell>
          <cell r="H523" t="str">
            <v>NO</v>
          </cell>
          <cell r="I523" t="str">
            <v>NO</v>
          </cell>
          <cell r="J523" t="str">
            <v>YES</v>
          </cell>
          <cell r="K523" t="str">
            <v>NO</v>
          </cell>
          <cell r="L523" t="str">
            <v>NO</v>
          </cell>
          <cell r="M523" t="str">
            <v>YES</v>
          </cell>
          <cell r="N523" t="str">
            <v>NO</v>
          </cell>
        </row>
        <row r="524">
          <cell r="A524">
            <v>4815</v>
          </cell>
          <cell r="B524">
            <v>571</v>
          </cell>
          <cell r="C524">
            <v>7</v>
          </cell>
          <cell r="D524" t="str">
            <v>NO</v>
          </cell>
          <cell r="E524" t="str">
            <v>YES</v>
          </cell>
          <cell r="F524" t="str">
            <v>NO</v>
          </cell>
          <cell r="G524" t="str">
            <v>NO</v>
          </cell>
          <cell r="H524" t="str">
            <v>NO</v>
          </cell>
          <cell r="I524" t="str">
            <v>NO</v>
          </cell>
          <cell r="J524" t="str">
            <v>YES</v>
          </cell>
          <cell r="K524" t="str">
            <v>NO</v>
          </cell>
          <cell r="L524" t="str">
            <v>NO</v>
          </cell>
          <cell r="M524" t="str">
            <v>YES</v>
          </cell>
          <cell r="N524" t="str">
            <v>NO</v>
          </cell>
        </row>
        <row r="525">
          <cell r="A525">
            <v>4820</v>
          </cell>
          <cell r="B525">
            <v>571</v>
          </cell>
          <cell r="C525">
            <v>7</v>
          </cell>
          <cell r="D525" t="str">
            <v>NO</v>
          </cell>
          <cell r="E525" t="str">
            <v>YES</v>
          </cell>
          <cell r="F525" t="str">
            <v>NO</v>
          </cell>
          <cell r="G525" t="str">
            <v>NO</v>
          </cell>
          <cell r="H525" t="str">
            <v>NO</v>
          </cell>
          <cell r="I525" t="str">
            <v>NO</v>
          </cell>
          <cell r="J525" t="str">
            <v>YES</v>
          </cell>
          <cell r="K525" t="str">
            <v>NO</v>
          </cell>
          <cell r="L525" t="str">
            <v>NO</v>
          </cell>
          <cell r="M525" t="str">
            <v>YES</v>
          </cell>
          <cell r="N525" t="str">
            <v>NO</v>
          </cell>
        </row>
        <row r="526">
          <cell r="A526">
            <v>4824</v>
          </cell>
          <cell r="B526">
            <v>571</v>
          </cell>
          <cell r="C526">
            <v>7</v>
          </cell>
          <cell r="D526" t="str">
            <v>NO</v>
          </cell>
          <cell r="E526" t="str">
            <v>YES</v>
          </cell>
          <cell r="F526" t="str">
            <v>NO</v>
          </cell>
          <cell r="G526" t="str">
            <v>NO</v>
          </cell>
          <cell r="H526" t="str">
            <v>NO</v>
          </cell>
          <cell r="I526" t="str">
            <v>NO</v>
          </cell>
          <cell r="J526" t="str">
            <v>YES</v>
          </cell>
          <cell r="K526" t="str">
            <v>NO</v>
          </cell>
          <cell r="L526" t="str">
            <v>NO</v>
          </cell>
          <cell r="M526" t="str">
            <v>YES</v>
          </cell>
          <cell r="N526" t="str">
            <v>NO</v>
          </cell>
        </row>
        <row r="527">
          <cell r="A527">
            <v>4825</v>
          </cell>
          <cell r="B527">
            <v>571</v>
          </cell>
          <cell r="C527">
            <v>7</v>
          </cell>
          <cell r="D527" t="str">
            <v>NO</v>
          </cell>
          <cell r="E527" t="str">
            <v>YES</v>
          </cell>
          <cell r="F527" t="str">
            <v>NO</v>
          </cell>
          <cell r="G527" t="str">
            <v>NO</v>
          </cell>
          <cell r="H527" t="str">
            <v>NO</v>
          </cell>
          <cell r="I527" t="str">
            <v>NO</v>
          </cell>
          <cell r="J527" t="str">
            <v>YES</v>
          </cell>
          <cell r="K527" t="str">
            <v>NO</v>
          </cell>
          <cell r="L527" t="str">
            <v>NO</v>
          </cell>
          <cell r="M527" t="str">
            <v>YES</v>
          </cell>
          <cell r="N527" t="str">
            <v>NO</v>
          </cell>
        </row>
        <row r="528">
          <cell r="A528">
            <v>4830</v>
          </cell>
          <cell r="B528">
            <v>571</v>
          </cell>
          <cell r="C528">
            <v>7</v>
          </cell>
          <cell r="D528" t="str">
            <v>NO</v>
          </cell>
          <cell r="E528" t="str">
            <v>YES</v>
          </cell>
          <cell r="F528" t="str">
            <v>NO</v>
          </cell>
          <cell r="G528" t="str">
            <v>NO</v>
          </cell>
          <cell r="H528" t="str">
            <v>NO</v>
          </cell>
          <cell r="I528" t="str">
            <v>NO</v>
          </cell>
          <cell r="J528" t="str">
            <v>YES</v>
          </cell>
          <cell r="K528" t="str">
            <v>NO</v>
          </cell>
          <cell r="L528" t="str">
            <v>NO</v>
          </cell>
          <cell r="M528" t="str">
            <v>YES</v>
          </cell>
          <cell r="N528" t="str">
            <v>NO</v>
          </cell>
        </row>
        <row r="529">
          <cell r="A529">
            <v>4835</v>
          </cell>
          <cell r="B529">
            <v>571</v>
          </cell>
          <cell r="C529">
            <v>7</v>
          </cell>
          <cell r="D529" t="str">
            <v>NO</v>
          </cell>
          <cell r="E529" t="str">
            <v>YES</v>
          </cell>
          <cell r="F529" t="str">
            <v>NO</v>
          </cell>
          <cell r="G529" t="str">
            <v>NO</v>
          </cell>
          <cell r="H529" t="str">
            <v>NO</v>
          </cell>
          <cell r="I529" t="str">
            <v>NO</v>
          </cell>
          <cell r="J529" t="str">
            <v>YES</v>
          </cell>
          <cell r="K529" t="str">
            <v>NO</v>
          </cell>
          <cell r="L529" t="str">
            <v>NO</v>
          </cell>
          <cell r="M529" t="str">
            <v>YES</v>
          </cell>
          <cell r="N529" t="str">
            <v>NO</v>
          </cell>
        </row>
        <row r="530">
          <cell r="A530">
            <v>4839</v>
          </cell>
          <cell r="B530">
            <v>571</v>
          </cell>
          <cell r="C530">
            <v>7</v>
          </cell>
          <cell r="D530" t="str">
            <v>NO</v>
          </cell>
          <cell r="E530" t="str">
            <v>YES</v>
          </cell>
          <cell r="F530" t="str">
            <v>NO</v>
          </cell>
          <cell r="G530" t="str">
            <v>NO</v>
          </cell>
          <cell r="H530" t="str">
            <v>NO</v>
          </cell>
          <cell r="I530" t="str">
            <v>NO</v>
          </cell>
          <cell r="J530" t="str">
            <v>YES</v>
          </cell>
          <cell r="K530" t="str">
            <v>NO</v>
          </cell>
          <cell r="L530" t="str">
            <v>NO</v>
          </cell>
          <cell r="M530" t="str">
            <v>YES</v>
          </cell>
          <cell r="N530" t="str">
            <v>NO</v>
          </cell>
        </row>
        <row r="531">
          <cell r="A531">
            <v>4840</v>
          </cell>
          <cell r="B531">
            <v>571</v>
          </cell>
          <cell r="C531">
            <v>7</v>
          </cell>
          <cell r="D531" t="str">
            <v>NO</v>
          </cell>
          <cell r="E531" t="str">
            <v>YES</v>
          </cell>
          <cell r="F531" t="str">
            <v>NO</v>
          </cell>
          <cell r="G531" t="str">
            <v>NO</v>
          </cell>
          <cell r="H531" t="str">
            <v>NO</v>
          </cell>
          <cell r="I531" t="str">
            <v>NO</v>
          </cell>
          <cell r="J531" t="str">
            <v>YES</v>
          </cell>
          <cell r="K531" t="str">
            <v>NO</v>
          </cell>
          <cell r="L531" t="str">
            <v>NO</v>
          </cell>
          <cell r="M531" t="str">
            <v>YES</v>
          </cell>
          <cell r="N531" t="str">
            <v>NO</v>
          </cell>
        </row>
        <row r="532">
          <cell r="A532">
            <v>4845</v>
          </cell>
          <cell r="B532">
            <v>571</v>
          </cell>
          <cell r="C532">
            <v>7</v>
          </cell>
          <cell r="D532" t="str">
            <v>NO</v>
          </cell>
          <cell r="E532" t="str">
            <v>YES</v>
          </cell>
          <cell r="F532" t="str">
            <v>NO</v>
          </cell>
          <cell r="G532" t="str">
            <v>NO</v>
          </cell>
          <cell r="H532" t="str">
            <v>NO</v>
          </cell>
          <cell r="I532" t="str">
            <v>NO</v>
          </cell>
          <cell r="J532" t="str">
            <v>YES</v>
          </cell>
          <cell r="K532" t="str">
            <v>NO</v>
          </cell>
          <cell r="L532" t="str">
            <v>NO</v>
          </cell>
          <cell r="M532" t="str">
            <v>YES</v>
          </cell>
          <cell r="N532" t="str">
            <v>NO</v>
          </cell>
        </row>
        <row r="533">
          <cell r="A533">
            <v>4850</v>
          </cell>
          <cell r="B533">
            <v>571</v>
          </cell>
          <cell r="C533">
            <v>7</v>
          </cell>
          <cell r="D533" t="str">
            <v>NO</v>
          </cell>
          <cell r="E533" t="str">
            <v>YES</v>
          </cell>
          <cell r="F533" t="str">
            <v>NO</v>
          </cell>
          <cell r="G533" t="str">
            <v>NO</v>
          </cell>
          <cell r="H533" t="str">
            <v>NO</v>
          </cell>
          <cell r="I533" t="str">
            <v>NO</v>
          </cell>
          <cell r="J533" t="str">
            <v>YES</v>
          </cell>
          <cell r="K533" t="str">
            <v>NO</v>
          </cell>
          <cell r="L533" t="str">
            <v>NO</v>
          </cell>
          <cell r="M533" t="str">
            <v>YES</v>
          </cell>
          <cell r="N533" t="str">
            <v>NO</v>
          </cell>
        </row>
        <row r="534">
          <cell r="A534">
            <v>4860</v>
          </cell>
          <cell r="B534">
            <v>571</v>
          </cell>
          <cell r="C534">
            <v>7</v>
          </cell>
          <cell r="D534" t="str">
            <v>NO</v>
          </cell>
          <cell r="E534" t="str">
            <v>YES</v>
          </cell>
          <cell r="F534" t="str">
            <v>NO</v>
          </cell>
          <cell r="G534" t="str">
            <v>NO</v>
          </cell>
          <cell r="H534" t="str">
            <v>NO</v>
          </cell>
          <cell r="I534" t="str">
            <v>NO</v>
          </cell>
          <cell r="J534" t="str">
            <v>YES</v>
          </cell>
          <cell r="K534" t="str">
            <v>NO</v>
          </cell>
          <cell r="L534" t="str">
            <v>NO</v>
          </cell>
          <cell r="M534" t="str">
            <v>YES</v>
          </cell>
          <cell r="N534" t="str">
            <v>NO</v>
          </cell>
        </row>
        <row r="535">
          <cell r="A535">
            <v>4870</v>
          </cell>
          <cell r="B535">
            <v>571</v>
          </cell>
          <cell r="C535">
            <v>7</v>
          </cell>
          <cell r="D535" t="str">
            <v>NO</v>
          </cell>
          <cell r="E535" t="str">
            <v>YES</v>
          </cell>
          <cell r="F535" t="str">
            <v>NO</v>
          </cell>
          <cell r="G535" t="str">
            <v>NO</v>
          </cell>
          <cell r="H535" t="str">
            <v>NO</v>
          </cell>
          <cell r="I535" t="str">
            <v>NO</v>
          </cell>
          <cell r="J535" t="str">
            <v>YES</v>
          </cell>
          <cell r="K535" t="str">
            <v>NO</v>
          </cell>
          <cell r="L535" t="str">
            <v>NO</v>
          </cell>
          <cell r="M535" t="str">
            <v>YES</v>
          </cell>
          <cell r="N535" t="str">
            <v>NO</v>
          </cell>
        </row>
        <row r="536">
          <cell r="A536">
            <v>4880</v>
          </cell>
          <cell r="B536">
            <v>571</v>
          </cell>
          <cell r="C536">
            <v>7</v>
          </cell>
          <cell r="D536" t="str">
            <v>NO</v>
          </cell>
          <cell r="E536" t="str">
            <v>YES</v>
          </cell>
          <cell r="F536" t="str">
            <v>NO</v>
          </cell>
          <cell r="G536" t="str">
            <v>NO</v>
          </cell>
          <cell r="H536" t="str">
            <v>NO</v>
          </cell>
          <cell r="I536" t="str">
            <v>NO</v>
          </cell>
          <cell r="J536" t="str">
            <v>YES</v>
          </cell>
          <cell r="K536" t="str">
            <v>NO</v>
          </cell>
          <cell r="L536" t="str">
            <v>NO</v>
          </cell>
          <cell r="M536" t="str">
            <v>YES</v>
          </cell>
          <cell r="N536" t="str">
            <v>NO</v>
          </cell>
        </row>
        <row r="537">
          <cell r="A537">
            <v>4890</v>
          </cell>
          <cell r="B537">
            <v>571</v>
          </cell>
          <cell r="C537">
            <v>7</v>
          </cell>
          <cell r="D537" t="str">
            <v>NO</v>
          </cell>
          <cell r="E537" t="str">
            <v>YES</v>
          </cell>
          <cell r="F537" t="str">
            <v>NO</v>
          </cell>
          <cell r="G537" t="str">
            <v>NO</v>
          </cell>
          <cell r="H537" t="str">
            <v>NO</v>
          </cell>
          <cell r="I537" t="str">
            <v>NO</v>
          </cell>
          <cell r="J537" t="str">
            <v>YES</v>
          </cell>
          <cell r="K537" t="str">
            <v>NO</v>
          </cell>
          <cell r="L537" t="str">
            <v>NO</v>
          </cell>
          <cell r="M537" t="str">
            <v>YES</v>
          </cell>
          <cell r="N537" t="str">
            <v>NO</v>
          </cell>
        </row>
        <row r="538">
          <cell r="A538">
            <v>4900</v>
          </cell>
          <cell r="B538">
            <v>571</v>
          </cell>
          <cell r="C538">
            <v>7</v>
          </cell>
          <cell r="D538" t="str">
            <v>NO</v>
          </cell>
          <cell r="E538" t="str">
            <v>YES</v>
          </cell>
          <cell r="F538" t="str">
            <v>NO</v>
          </cell>
          <cell r="G538" t="str">
            <v>NO</v>
          </cell>
          <cell r="H538" t="str">
            <v>NO</v>
          </cell>
          <cell r="I538" t="str">
            <v>NO</v>
          </cell>
          <cell r="J538" t="str">
            <v>YES</v>
          </cell>
          <cell r="K538" t="str">
            <v>NO</v>
          </cell>
          <cell r="L538" t="str">
            <v>NO</v>
          </cell>
          <cell r="M538" t="str">
            <v>YES</v>
          </cell>
          <cell r="N538" t="str">
            <v>NO</v>
          </cell>
        </row>
        <row r="539">
          <cell r="A539">
            <v>4901</v>
          </cell>
          <cell r="B539">
            <v>571</v>
          </cell>
          <cell r="C539">
            <v>7</v>
          </cell>
          <cell r="D539" t="str">
            <v>NO</v>
          </cell>
          <cell r="E539" t="str">
            <v>YES</v>
          </cell>
          <cell r="F539" t="str">
            <v>NO</v>
          </cell>
          <cell r="G539" t="str">
            <v>NO</v>
          </cell>
          <cell r="H539" t="str">
            <v>NO</v>
          </cell>
          <cell r="I539" t="str">
            <v>NO</v>
          </cell>
          <cell r="J539" t="str">
            <v>YES</v>
          </cell>
          <cell r="K539" t="str">
            <v>NO</v>
          </cell>
          <cell r="L539" t="str">
            <v>NO</v>
          </cell>
          <cell r="M539" t="str">
            <v>YES</v>
          </cell>
          <cell r="N539" t="str">
            <v>NO</v>
          </cell>
        </row>
        <row r="540">
          <cell r="A540">
            <v>4904</v>
          </cell>
          <cell r="B540">
            <v>571</v>
          </cell>
          <cell r="C540">
            <v>7</v>
          </cell>
          <cell r="D540" t="str">
            <v>NO</v>
          </cell>
          <cell r="E540" t="str">
            <v>YES</v>
          </cell>
          <cell r="F540" t="str">
            <v>NO</v>
          </cell>
          <cell r="G540" t="str">
            <v>NO</v>
          </cell>
          <cell r="H540" t="str">
            <v>NO</v>
          </cell>
          <cell r="I540" t="str">
            <v>NO</v>
          </cell>
          <cell r="J540" t="str">
            <v>YES</v>
          </cell>
          <cell r="K540" t="str">
            <v>NO</v>
          </cell>
          <cell r="L540" t="str">
            <v>NO</v>
          </cell>
          <cell r="M540" t="str">
            <v>YES</v>
          </cell>
          <cell r="N540" t="str">
            <v>NO</v>
          </cell>
        </row>
        <row r="541">
          <cell r="A541">
            <v>4905</v>
          </cell>
          <cell r="B541">
            <v>571</v>
          </cell>
          <cell r="C541">
            <v>7</v>
          </cell>
          <cell r="D541" t="str">
            <v>NO</v>
          </cell>
          <cell r="E541" t="str">
            <v>YES</v>
          </cell>
          <cell r="F541" t="str">
            <v>NO</v>
          </cell>
          <cell r="G541" t="str">
            <v>NO</v>
          </cell>
          <cell r="H541" t="str">
            <v>NO</v>
          </cell>
          <cell r="I541" t="str">
            <v>NO</v>
          </cell>
          <cell r="J541" t="str">
            <v>YES</v>
          </cell>
          <cell r="K541" t="str">
            <v>NO</v>
          </cell>
          <cell r="L541" t="str">
            <v>NO</v>
          </cell>
          <cell r="M541" t="str">
            <v>YES</v>
          </cell>
          <cell r="N541" t="str">
            <v>NO</v>
          </cell>
        </row>
        <row r="542">
          <cell r="A542">
            <v>4910</v>
          </cell>
          <cell r="B542">
            <v>571</v>
          </cell>
          <cell r="C542">
            <v>7</v>
          </cell>
          <cell r="D542" t="str">
            <v>NO</v>
          </cell>
          <cell r="E542" t="str">
            <v>YES</v>
          </cell>
          <cell r="F542" t="str">
            <v>NO</v>
          </cell>
          <cell r="G542" t="str">
            <v>NO</v>
          </cell>
          <cell r="H542" t="str">
            <v>NO</v>
          </cell>
          <cell r="I542" t="str">
            <v>NO</v>
          </cell>
          <cell r="J542" t="str">
            <v>YES</v>
          </cell>
          <cell r="K542" t="str">
            <v>NO</v>
          </cell>
          <cell r="L542" t="str">
            <v>NO</v>
          </cell>
          <cell r="M542" t="str">
            <v>YES</v>
          </cell>
          <cell r="N542" t="str">
            <v>NO</v>
          </cell>
        </row>
        <row r="543">
          <cell r="A543">
            <v>4915</v>
          </cell>
          <cell r="B543">
            <v>571</v>
          </cell>
          <cell r="C543">
            <v>7</v>
          </cell>
          <cell r="D543" t="str">
            <v>NO</v>
          </cell>
          <cell r="E543" t="str">
            <v>YES</v>
          </cell>
          <cell r="F543" t="str">
            <v>NO</v>
          </cell>
          <cell r="G543" t="str">
            <v>NO</v>
          </cell>
          <cell r="H543" t="str">
            <v>NO</v>
          </cell>
          <cell r="I543" t="str">
            <v>NO</v>
          </cell>
          <cell r="J543" t="str">
            <v>YES</v>
          </cell>
          <cell r="K543" t="str">
            <v>NO</v>
          </cell>
          <cell r="L543" t="str">
            <v>NO</v>
          </cell>
          <cell r="M543" t="str">
            <v>YES</v>
          </cell>
          <cell r="N543" t="str">
            <v>NO</v>
          </cell>
        </row>
        <row r="544">
          <cell r="A544">
            <v>4920</v>
          </cell>
          <cell r="B544">
            <v>571</v>
          </cell>
          <cell r="C544">
            <v>7</v>
          </cell>
          <cell r="D544" t="str">
            <v>NO</v>
          </cell>
          <cell r="E544" t="str">
            <v>YES</v>
          </cell>
          <cell r="F544" t="str">
            <v>NO</v>
          </cell>
          <cell r="G544" t="str">
            <v>NO</v>
          </cell>
          <cell r="H544" t="str">
            <v>NO</v>
          </cell>
          <cell r="I544" t="str">
            <v>NO</v>
          </cell>
          <cell r="J544" t="str">
            <v>YES</v>
          </cell>
          <cell r="K544" t="str">
            <v>NO</v>
          </cell>
          <cell r="L544" t="str">
            <v>NO</v>
          </cell>
          <cell r="M544" t="str">
            <v>YES</v>
          </cell>
          <cell r="N544" t="str">
            <v>NO</v>
          </cell>
        </row>
        <row r="545">
          <cell r="A545">
            <v>4925</v>
          </cell>
          <cell r="B545">
            <v>571</v>
          </cell>
          <cell r="C545">
            <v>7</v>
          </cell>
          <cell r="D545" t="str">
            <v>NO</v>
          </cell>
          <cell r="E545" t="str">
            <v>YES</v>
          </cell>
          <cell r="F545" t="str">
            <v>NO</v>
          </cell>
          <cell r="G545" t="str">
            <v>NO</v>
          </cell>
          <cell r="H545" t="str">
            <v>NO</v>
          </cell>
          <cell r="I545" t="str">
            <v>NO</v>
          </cell>
          <cell r="J545" t="str">
            <v>YES</v>
          </cell>
          <cell r="K545" t="str">
            <v>NO</v>
          </cell>
          <cell r="L545" t="str">
            <v>NO</v>
          </cell>
          <cell r="M545" t="str">
            <v>YES</v>
          </cell>
          <cell r="N545" t="str">
            <v>NO</v>
          </cell>
        </row>
        <row r="546">
          <cell r="A546">
            <v>4930</v>
          </cell>
          <cell r="B546">
            <v>571</v>
          </cell>
          <cell r="C546">
            <v>7</v>
          </cell>
          <cell r="D546" t="str">
            <v>NO</v>
          </cell>
          <cell r="E546" t="str">
            <v>YES</v>
          </cell>
          <cell r="F546" t="str">
            <v>NO</v>
          </cell>
          <cell r="G546" t="str">
            <v>NO</v>
          </cell>
          <cell r="H546" t="str">
            <v>NO</v>
          </cell>
          <cell r="I546" t="str">
            <v>NO</v>
          </cell>
          <cell r="J546" t="str">
            <v>YES</v>
          </cell>
          <cell r="K546" t="str">
            <v>NO</v>
          </cell>
          <cell r="L546" t="str">
            <v>NO</v>
          </cell>
          <cell r="M546" t="str">
            <v>YES</v>
          </cell>
          <cell r="N546" t="str">
            <v>NO</v>
          </cell>
        </row>
        <row r="547">
          <cell r="A547">
            <v>4935</v>
          </cell>
          <cell r="B547">
            <v>571</v>
          </cell>
          <cell r="C547">
            <v>7</v>
          </cell>
          <cell r="D547" t="str">
            <v>NO</v>
          </cell>
          <cell r="E547" t="str">
            <v>YES</v>
          </cell>
          <cell r="F547" t="str">
            <v>NO</v>
          </cell>
          <cell r="G547" t="str">
            <v>NO</v>
          </cell>
          <cell r="H547" t="str">
            <v>NO</v>
          </cell>
          <cell r="I547" t="str">
            <v>NO</v>
          </cell>
          <cell r="J547" t="str">
            <v>YES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NO</v>
          </cell>
        </row>
        <row r="548">
          <cell r="A548">
            <v>4939</v>
          </cell>
          <cell r="B548">
            <v>571</v>
          </cell>
          <cell r="C548">
            <v>7</v>
          </cell>
          <cell r="D548" t="str">
            <v>NO</v>
          </cell>
          <cell r="E548" t="str">
            <v>YES</v>
          </cell>
          <cell r="F548" t="str">
            <v>NO</v>
          </cell>
          <cell r="G548" t="str">
            <v>NO</v>
          </cell>
          <cell r="H548" t="str">
            <v>NO</v>
          </cell>
          <cell r="I548" t="str">
            <v>NO</v>
          </cell>
          <cell r="J548" t="str">
            <v>YES</v>
          </cell>
          <cell r="K548" t="str">
            <v>NO</v>
          </cell>
          <cell r="L548" t="str">
            <v>NO</v>
          </cell>
          <cell r="M548" t="str">
            <v>YES</v>
          </cell>
          <cell r="N548" t="str">
            <v>NO</v>
          </cell>
        </row>
        <row r="549">
          <cell r="A549">
            <v>4940</v>
          </cell>
          <cell r="B549">
            <v>571</v>
          </cell>
          <cell r="C549">
            <v>7</v>
          </cell>
          <cell r="D549" t="str">
            <v>NO</v>
          </cell>
          <cell r="E549" t="str">
            <v>YES</v>
          </cell>
          <cell r="F549" t="str">
            <v>NO</v>
          </cell>
          <cell r="G549" t="str">
            <v>NO</v>
          </cell>
          <cell r="H549" t="str">
            <v>NO</v>
          </cell>
          <cell r="I549" t="str">
            <v>NO</v>
          </cell>
          <cell r="J549" t="str">
            <v>YES</v>
          </cell>
          <cell r="K549" t="str">
            <v>NO</v>
          </cell>
          <cell r="L549" t="str">
            <v>NO</v>
          </cell>
          <cell r="M549" t="str">
            <v>YES</v>
          </cell>
          <cell r="N549" t="str">
            <v>NO</v>
          </cell>
        </row>
        <row r="550">
          <cell r="A550">
            <v>4950</v>
          </cell>
          <cell r="B550">
            <v>571</v>
          </cell>
          <cell r="C550">
            <v>7</v>
          </cell>
          <cell r="D550" t="str">
            <v>NO</v>
          </cell>
          <cell r="E550" t="str">
            <v>YES</v>
          </cell>
          <cell r="F550" t="str">
            <v>NO</v>
          </cell>
          <cell r="G550" t="str">
            <v>NO</v>
          </cell>
          <cell r="H550" t="str">
            <v>NO</v>
          </cell>
          <cell r="I550" t="str">
            <v>NO</v>
          </cell>
          <cell r="J550" t="str">
            <v>YES</v>
          </cell>
          <cell r="K550" t="str">
            <v>NO</v>
          </cell>
          <cell r="L550" t="str">
            <v>NO</v>
          </cell>
          <cell r="M550" t="str">
            <v>YES</v>
          </cell>
          <cell r="N550" t="str">
            <v>NO</v>
          </cell>
        </row>
        <row r="551">
          <cell r="A551">
            <v>4960</v>
          </cell>
          <cell r="B551">
            <v>571</v>
          </cell>
          <cell r="C551">
            <v>7</v>
          </cell>
          <cell r="D551" t="str">
            <v>NO</v>
          </cell>
          <cell r="E551" t="str">
            <v>YES</v>
          </cell>
          <cell r="F551" t="str">
            <v>NO</v>
          </cell>
          <cell r="G551" t="str">
            <v>NO</v>
          </cell>
          <cell r="H551" t="str">
            <v>NO</v>
          </cell>
          <cell r="I551" t="str">
            <v>NO</v>
          </cell>
          <cell r="J551" t="str">
            <v>YES</v>
          </cell>
          <cell r="K551" t="str">
            <v>NO</v>
          </cell>
          <cell r="L551" t="str">
            <v>NO</v>
          </cell>
          <cell r="M551" t="str">
            <v>YES</v>
          </cell>
          <cell r="N551" t="str">
            <v>NO</v>
          </cell>
        </row>
        <row r="552">
          <cell r="A552">
            <v>4965</v>
          </cell>
          <cell r="B552">
            <v>571</v>
          </cell>
          <cell r="C552">
            <v>7</v>
          </cell>
          <cell r="D552" t="str">
            <v>NO</v>
          </cell>
          <cell r="E552" t="str">
            <v>YES</v>
          </cell>
          <cell r="F552" t="str">
            <v>NO</v>
          </cell>
          <cell r="G552" t="str">
            <v>NO</v>
          </cell>
          <cell r="H552" t="str">
            <v>NO</v>
          </cell>
          <cell r="I552" t="str">
            <v>NO</v>
          </cell>
          <cell r="J552" t="str">
            <v>YES</v>
          </cell>
          <cell r="K552" t="str">
            <v>NO</v>
          </cell>
          <cell r="L552" t="str">
            <v>NO</v>
          </cell>
          <cell r="M552" t="str">
            <v>YES</v>
          </cell>
          <cell r="N552" t="str">
            <v>NO</v>
          </cell>
        </row>
        <row r="553">
          <cell r="A553">
            <v>4970</v>
          </cell>
          <cell r="B553">
            <v>571</v>
          </cell>
          <cell r="C553">
            <v>7</v>
          </cell>
          <cell r="D553" t="str">
            <v>NO</v>
          </cell>
          <cell r="E553" t="str">
            <v>YES</v>
          </cell>
          <cell r="F553" t="str">
            <v>NO</v>
          </cell>
          <cell r="G553" t="str">
            <v>NO</v>
          </cell>
          <cell r="H553" t="str">
            <v>NO</v>
          </cell>
          <cell r="I553" t="str">
            <v>NO</v>
          </cell>
          <cell r="J553" t="str">
            <v>YES</v>
          </cell>
          <cell r="K553" t="str">
            <v>NO</v>
          </cell>
          <cell r="L553" t="str">
            <v>NO</v>
          </cell>
          <cell r="M553" t="str">
            <v>YES</v>
          </cell>
          <cell r="N553" t="str">
            <v>NO</v>
          </cell>
        </row>
        <row r="554">
          <cell r="A554">
            <v>4974</v>
          </cell>
          <cell r="B554">
            <v>571</v>
          </cell>
          <cell r="C554">
            <v>7</v>
          </cell>
          <cell r="D554" t="str">
            <v>NO</v>
          </cell>
          <cell r="E554" t="str">
            <v>YES</v>
          </cell>
          <cell r="F554" t="str">
            <v>NO</v>
          </cell>
          <cell r="G554" t="str">
            <v>NO</v>
          </cell>
          <cell r="H554" t="str">
            <v>NO</v>
          </cell>
          <cell r="I554" t="str">
            <v>NO</v>
          </cell>
          <cell r="J554" t="str">
            <v>YES</v>
          </cell>
          <cell r="K554" t="str">
            <v>NO</v>
          </cell>
          <cell r="L554" t="str">
            <v>NO</v>
          </cell>
          <cell r="M554" t="str">
            <v>YES</v>
          </cell>
          <cell r="N554" t="str">
            <v>NO</v>
          </cell>
        </row>
        <row r="555">
          <cell r="A555">
            <v>4980</v>
          </cell>
          <cell r="B555">
            <v>571</v>
          </cell>
          <cell r="C555">
            <v>7</v>
          </cell>
          <cell r="D555" t="str">
            <v>NO</v>
          </cell>
          <cell r="E555" t="str">
            <v>YES</v>
          </cell>
          <cell r="F555" t="str">
            <v>NO</v>
          </cell>
          <cell r="G555" t="str">
            <v>NO</v>
          </cell>
          <cell r="H555" t="str">
            <v>NO</v>
          </cell>
          <cell r="I555" t="str">
            <v>NO</v>
          </cell>
          <cell r="J555" t="str">
            <v>YES</v>
          </cell>
          <cell r="K555" t="str">
            <v>NO</v>
          </cell>
          <cell r="L555" t="str">
            <v>NO</v>
          </cell>
          <cell r="M555" t="str">
            <v>YES</v>
          </cell>
          <cell r="N555" t="str">
            <v>NO</v>
          </cell>
        </row>
        <row r="556">
          <cell r="A556">
            <v>4990</v>
          </cell>
          <cell r="B556">
            <v>571</v>
          </cell>
          <cell r="C556">
            <v>7</v>
          </cell>
          <cell r="D556" t="str">
            <v>NO</v>
          </cell>
          <cell r="E556" t="str">
            <v>YES</v>
          </cell>
          <cell r="F556" t="str">
            <v>NO</v>
          </cell>
          <cell r="G556" t="str">
            <v>NO</v>
          </cell>
          <cell r="H556" t="str">
            <v>NO</v>
          </cell>
          <cell r="I556" t="str">
            <v>NO</v>
          </cell>
          <cell r="J556" t="str">
            <v>YES</v>
          </cell>
          <cell r="K556" t="str">
            <v>NO</v>
          </cell>
          <cell r="L556" t="str">
            <v>NO</v>
          </cell>
          <cell r="M556" t="str">
            <v>YES</v>
          </cell>
          <cell r="N556" t="str">
            <v>NO</v>
          </cell>
        </row>
        <row r="557">
          <cell r="A557">
            <v>5000</v>
          </cell>
          <cell r="B557">
            <v>571</v>
          </cell>
          <cell r="C557">
            <v>7</v>
          </cell>
          <cell r="D557" t="str">
            <v>NO</v>
          </cell>
          <cell r="E557" t="str">
            <v>YES</v>
          </cell>
          <cell r="F557" t="str">
            <v>NO</v>
          </cell>
          <cell r="G557" t="str">
            <v>NO</v>
          </cell>
          <cell r="H557" t="str">
            <v>NO</v>
          </cell>
          <cell r="I557" t="str">
            <v>NO</v>
          </cell>
          <cell r="J557" t="str">
            <v>YES</v>
          </cell>
          <cell r="K557" t="str">
            <v>NO</v>
          </cell>
          <cell r="L557" t="str">
            <v>NO</v>
          </cell>
          <cell r="M557" t="str">
            <v>YES</v>
          </cell>
          <cell r="N557" t="str">
            <v>NO</v>
          </cell>
        </row>
        <row r="558">
          <cell r="A558">
            <v>5004</v>
          </cell>
          <cell r="B558">
            <v>571</v>
          </cell>
          <cell r="C558">
            <v>7</v>
          </cell>
          <cell r="D558" t="str">
            <v>NO</v>
          </cell>
          <cell r="E558" t="str">
            <v>YES</v>
          </cell>
          <cell r="F558" t="str">
            <v>NO</v>
          </cell>
          <cell r="G558" t="str">
            <v>NO</v>
          </cell>
          <cell r="H558" t="str">
            <v>NO</v>
          </cell>
          <cell r="I558" t="str">
            <v>NO</v>
          </cell>
          <cell r="J558" t="str">
            <v>YES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NO</v>
          </cell>
        </row>
        <row r="559">
          <cell r="A559">
            <v>5030</v>
          </cell>
          <cell r="B559">
            <v>571</v>
          </cell>
          <cell r="C559">
            <v>7</v>
          </cell>
          <cell r="D559" t="str">
            <v>NO</v>
          </cell>
          <cell r="E559" t="str">
            <v>YES</v>
          </cell>
          <cell r="F559" t="str">
            <v>NO</v>
          </cell>
          <cell r="G559" t="str">
            <v>NO</v>
          </cell>
          <cell r="H559" t="str">
            <v>NO</v>
          </cell>
          <cell r="I559" t="str">
            <v>NO</v>
          </cell>
          <cell r="J559" t="str">
            <v>YES</v>
          </cell>
          <cell r="K559" t="str">
            <v>NO</v>
          </cell>
          <cell r="L559" t="str">
            <v>NO</v>
          </cell>
          <cell r="M559" t="str">
            <v>YES</v>
          </cell>
          <cell r="N559" t="str">
            <v>NO</v>
          </cell>
        </row>
        <row r="560">
          <cell r="A560">
            <v>5040</v>
          </cell>
          <cell r="B560">
            <v>571</v>
          </cell>
          <cell r="C560">
            <v>7</v>
          </cell>
          <cell r="D560" t="str">
            <v>NO</v>
          </cell>
          <cell r="E560" t="str">
            <v>YES</v>
          </cell>
          <cell r="F560" t="str">
            <v>NO</v>
          </cell>
          <cell r="G560" t="str">
            <v>NO</v>
          </cell>
          <cell r="H560" t="str">
            <v>NO</v>
          </cell>
          <cell r="I560" t="str">
            <v>NO</v>
          </cell>
          <cell r="J560" t="str">
            <v>YES</v>
          </cell>
          <cell r="K560" t="str">
            <v>NO</v>
          </cell>
          <cell r="L560" t="str">
            <v>NO</v>
          </cell>
          <cell r="M560" t="str">
            <v>YES</v>
          </cell>
          <cell r="N560" t="str">
            <v>NO</v>
          </cell>
        </row>
        <row r="561">
          <cell r="A561">
            <v>5050</v>
          </cell>
          <cell r="B561">
            <v>571</v>
          </cell>
          <cell r="C561">
            <v>7</v>
          </cell>
          <cell r="D561" t="str">
            <v>NO</v>
          </cell>
          <cell r="E561" t="str">
            <v>YES</v>
          </cell>
          <cell r="F561" t="str">
            <v>NO</v>
          </cell>
          <cell r="G561" t="str">
            <v>NO</v>
          </cell>
          <cell r="H561" t="str">
            <v>NO</v>
          </cell>
          <cell r="I561" t="str">
            <v>NO</v>
          </cell>
          <cell r="J561" t="str">
            <v>YES</v>
          </cell>
          <cell r="K561" t="str">
            <v>NO</v>
          </cell>
          <cell r="L561" t="str">
            <v>NO</v>
          </cell>
          <cell r="M561" t="str">
            <v>YES</v>
          </cell>
          <cell r="N561" t="str">
            <v>NO</v>
          </cell>
        </row>
        <row r="562">
          <cell r="A562">
            <v>5054</v>
          </cell>
          <cell r="B562">
            <v>571</v>
          </cell>
          <cell r="C562">
            <v>7</v>
          </cell>
          <cell r="D562" t="str">
            <v>NO</v>
          </cell>
          <cell r="E562" t="str">
            <v>YES</v>
          </cell>
          <cell r="F562" t="str">
            <v>NO</v>
          </cell>
          <cell r="G562" t="str">
            <v>NO</v>
          </cell>
          <cell r="H562" t="str">
            <v>NO</v>
          </cell>
          <cell r="I562" t="str">
            <v>NO</v>
          </cell>
          <cell r="J562" t="str">
            <v>YES</v>
          </cell>
          <cell r="K562" t="str">
            <v>NO</v>
          </cell>
          <cell r="L562" t="str">
            <v>NO</v>
          </cell>
          <cell r="M562" t="str">
            <v>YES</v>
          </cell>
          <cell r="N562" t="str">
            <v>NO</v>
          </cell>
        </row>
        <row r="563">
          <cell r="A563">
            <v>5060</v>
          </cell>
          <cell r="B563">
            <v>571</v>
          </cell>
          <cell r="C563">
            <v>7</v>
          </cell>
          <cell r="D563" t="str">
            <v>NO</v>
          </cell>
          <cell r="E563" t="str">
            <v>YES</v>
          </cell>
          <cell r="F563" t="str">
            <v>NO</v>
          </cell>
          <cell r="G563" t="str">
            <v>NO</v>
          </cell>
          <cell r="H563" t="str">
            <v>NO</v>
          </cell>
          <cell r="I563" t="str">
            <v>NO</v>
          </cell>
          <cell r="J563" t="str">
            <v>YES</v>
          </cell>
          <cell r="K563" t="str">
            <v>NO</v>
          </cell>
          <cell r="L563" t="str">
            <v>NO</v>
          </cell>
          <cell r="M563" t="str">
            <v>YES</v>
          </cell>
          <cell r="N563" t="str">
            <v>NO</v>
          </cell>
        </row>
        <row r="564">
          <cell r="A564">
            <v>5070</v>
          </cell>
          <cell r="B564">
            <v>571</v>
          </cell>
          <cell r="C564">
            <v>7</v>
          </cell>
          <cell r="D564" t="str">
            <v>NO</v>
          </cell>
          <cell r="E564" t="str">
            <v>YES</v>
          </cell>
          <cell r="F564" t="str">
            <v>NO</v>
          </cell>
          <cell r="G564" t="str">
            <v>NO</v>
          </cell>
          <cell r="H564" t="str">
            <v>NO</v>
          </cell>
          <cell r="I564" t="str">
            <v>NO</v>
          </cell>
          <cell r="J564" t="str">
            <v>YES</v>
          </cell>
          <cell r="K564" t="str">
            <v>NO</v>
          </cell>
          <cell r="L564" t="str">
            <v>NO</v>
          </cell>
          <cell r="M564" t="str">
            <v>YES</v>
          </cell>
          <cell r="N564" t="str">
            <v>NO</v>
          </cell>
        </row>
        <row r="565">
          <cell r="A565">
            <v>5085</v>
          </cell>
          <cell r="B565">
            <v>571</v>
          </cell>
          <cell r="C565">
            <v>7</v>
          </cell>
          <cell r="D565" t="str">
            <v>NO</v>
          </cell>
          <cell r="E565" t="str">
            <v>YES</v>
          </cell>
          <cell r="F565" t="str">
            <v>NO</v>
          </cell>
          <cell r="G565" t="str">
            <v>NO</v>
          </cell>
          <cell r="H565" t="str">
            <v>NO</v>
          </cell>
          <cell r="I565" t="str">
            <v>NO</v>
          </cell>
          <cell r="J565" t="str">
            <v>YES</v>
          </cell>
          <cell r="K565" t="str">
            <v>NO</v>
          </cell>
          <cell r="L565" t="str">
            <v>NO</v>
          </cell>
          <cell r="M565" t="str">
            <v>YES</v>
          </cell>
          <cell r="N565" t="str">
            <v>NO</v>
          </cell>
        </row>
        <row r="566">
          <cell r="A566">
            <v>5090</v>
          </cell>
          <cell r="B566">
            <v>571</v>
          </cell>
          <cell r="C566">
            <v>7</v>
          </cell>
          <cell r="D566" t="str">
            <v>NO</v>
          </cell>
          <cell r="E566" t="str">
            <v>YES</v>
          </cell>
          <cell r="F566" t="str">
            <v>NO</v>
          </cell>
          <cell r="G566" t="str">
            <v>NO</v>
          </cell>
          <cell r="H566" t="str">
            <v>NO</v>
          </cell>
          <cell r="I566" t="str">
            <v>NO</v>
          </cell>
          <cell r="J566" t="str">
            <v>YES</v>
          </cell>
          <cell r="K566" t="str">
            <v>NO</v>
          </cell>
          <cell r="L566" t="str">
            <v>NO</v>
          </cell>
          <cell r="M566" t="str">
            <v>YES</v>
          </cell>
          <cell r="N566" t="str">
            <v>NO</v>
          </cell>
        </row>
        <row r="567">
          <cell r="A567">
            <v>5100</v>
          </cell>
          <cell r="B567">
            <v>571</v>
          </cell>
          <cell r="C567">
            <v>7</v>
          </cell>
          <cell r="D567" t="str">
            <v>NO</v>
          </cell>
          <cell r="E567" t="str">
            <v>YES</v>
          </cell>
          <cell r="F567" t="str">
            <v>NO</v>
          </cell>
          <cell r="G567" t="str">
            <v>NO</v>
          </cell>
          <cell r="H567" t="str">
            <v>NO</v>
          </cell>
          <cell r="I567" t="str">
            <v>NO</v>
          </cell>
          <cell r="J567" t="str">
            <v>YES</v>
          </cell>
          <cell r="K567" t="str">
            <v>NO</v>
          </cell>
          <cell r="L567" t="str">
            <v>NO</v>
          </cell>
          <cell r="M567" t="str">
            <v>YES</v>
          </cell>
          <cell r="N567" t="str">
            <v>NO</v>
          </cell>
        </row>
        <row r="568">
          <cell r="A568">
            <v>5110</v>
          </cell>
          <cell r="B568">
            <v>571</v>
          </cell>
          <cell r="C568">
            <v>7</v>
          </cell>
          <cell r="D568" t="str">
            <v>NO</v>
          </cell>
          <cell r="E568" t="str">
            <v>YES</v>
          </cell>
          <cell r="F568" t="str">
            <v>NO</v>
          </cell>
          <cell r="G568" t="str">
            <v>NO</v>
          </cell>
          <cell r="H568" t="str">
            <v>NO</v>
          </cell>
          <cell r="I568" t="str">
            <v>NO</v>
          </cell>
          <cell r="J568" t="str">
            <v>YES</v>
          </cell>
          <cell r="K568" t="str">
            <v>NO</v>
          </cell>
          <cell r="L568" t="str">
            <v>NO</v>
          </cell>
          <cell r="M568" t="str">
            <v>YES</v>
          </cell>
          <cell r="N568" t="str">
            <v>NO</v>
          </cell>
        </row>
        <row r="569">
          <cell r="A569">
            <v>5114</v>
          </cell>
          <cell r="B569">
            <v>571</v>
          </cell>
          <cell r="C569">
            <v>7</v>
          </cell>
          <cell r="D569" t="str">
            <v>NO</v>
          </cell>
          <cell r="E569" t="str">
            <v>YES</v>
          </cell>
          <cell r="F569" t="str">
            <v>NO</v>
          </cell>
          <cell r="G569" t="str">
            <v>NO</v>
          </cell>
          <cell r="H569" t="str">
            <v>NO</v>
          </cell>
          <cell r="I569" t="str">
            <v>NO</v>
          </cell>
          <cell r="J569" t="str">
            <v>YES</v>
          </cell>
          <cell r="K569" t="str">
            <v>NO</v>
          </cell>
          <cell r="L569" t="str">
            <v>NO</v>
          </cell>
          <cell r="M569" t="str">
            <v>YES</v>
          </cell>
          <cell r="N569" t="str">
            <v>NO</v>
          </cell>
        </row>
        <row r="570">
          <cell r="A570">
            <v>5120</v>
          </cell>
          <cell r="B570">
            <v>571</v>
          </cell>
          <cell r="C570">
            <v>7</v>
          </cell>
          <cell r="D570" t="str">
            <v>NO</v>
          </cell>
          <cell r="E570" t="str">
            <v>YES</v>
          </cell>
          <cell r="F570" t="str">
            <v>NO</v>
          </cell>
          <cell r="G570" t="str">
            <v>NO</v>
          </cell>
          <cell r="H570" t="str">
            <v>NO</v>
          </cell>
          <cell r="I570" t="str">
            <v>NO</v>
          </cell>
          <cell r="J570" t="str">
            <v>YES</v>
          </cell>
          <cell r="K570" t="str">
            <v>NO</v>
          </cell>
          <cell r="L570" t="str">
            <v>NO</v>
          </cell>
          <cell r="M570" t="str">
            <v>YES</v>
          </cell>
          <cell r="N570" t="str">
            <v>NO</v>
          </cell>
        </row>
        <row r="571">
          <cell r="A571">
            <v>5130</v>
          </cell>
          <cell r="B571">
            <v>571</v>
          </cell>
          <cell r="C571">
            <v>7</v>
          </cell>
          <cell r="D571" t="str">
            <v>NO</v>
          </cell>
          <cell r="E571" t="str">
            <v>YES</v>
          </cell>
          <cell r="F571" t="str">
            <v>NO</v>
          </cell>
          <cell r="G571" t="str">
            <v>NO</v>
          </cell>
          <cell r="H571" t="str">
            <v>NO</v>
          </cell>
          <cell r="I571" t="str">
            <v>NO</v>
          </cell>
          <cell r="J571" t="str">
            <v>YES</v>
          </cell>
          <cell r="K571" t="str">
            <v>NO</v>
          </cell>
          <cell r="L571" t="str">
            <v>NO</v>
          </cell>
          <cell r="M571" t="str">
            <v>YES</v>
          </cell>
          <cell r="N571" t="str">
            <v>NO</v>
          </cell>
        </row>
        <row r="572">
          <cell r="A572">
            <v>5140</v>
          </cell>
          <cell r="B572">
            <v>571</v>
          </cell>
          <cell r="C572">
            <v>7</v>
          </cell>
          <cell r="D572" t="str">
            <v>NO</v>
          </cell>
          <cell r="E572" t="str">
            <v>YES</v>
          </cell>
          <cell r="F572" t="str">
            <v>NO</v>
          </cell>
          <cell r="G572" t="str">
            <v>NO</v>
          </cell>
          <cell r="H572" t="str">
            <v>NO</v>
          </cell>
          <cell r="I572" t="str">
            <v>NO</v>
          </cell>
          <cell r="J572" t="str">
            <v>YES</v>
          </cell>
          <cell r="K572" t="str">
            <v>NO</v>
          </cell>
          <cell r="L572" t="str">
            <v>NO</v>
          </cell>
          <cell r="M572" t="str">
            <v>YES</v>
          </cell>
          <cell r="N572" t="str">
            <v>NO</v>
          </cell>
        </row>
        <row r="573">
          <cell r="A573">
            <v>5145</v>
          </cell>
          <cell r="B573">
            <v>571</v>
          </cell>
          <cell r="C573">
            <v>7</v>
          </cell>
          <cell r="D573" t="str">
            <v>NO</v>
          </cell>
          <cell r="E573" t="str">
            <v>YES</v>
          </cell>
          <cell r="F573" t="str">
            <v>NO</v>
          </cell>
          <cell r="G573" t="str">
            <v>NO</v>
          </cell>
          <cell r="H573" t="str">
            <v>NO</v>
          </cell>
          <cell r="I573" t="str">
            <v>NO</v>
          </cell>
          <cell r="J573" t="str">
            <v>YES</v>
          </cell>
          <cell r="K573" t="str">
            <v>NO</v>
          </cell>
          <cell r="L573" t="str">
            <v>NO</v>
          </cell>
          <cell r="M573" t="str">
            <v>YES</v>
          </cell>
          <cell r="N573" t="str">
            <v>NO</v>
          </cell>
        </row>
        <row r="574">
          <cell r="A574">
            <v>5150</v>
          </cell>
          <cell r="B574">
            <v>571</v>
          </cell>
          <cell r="C574">
            <v>7</v>
          </cell>
          <cell r="D574" t="str">
            <v>NO</v>
          </cell>
          <cell r="E574" t="str">
            <v>YES</v>
          </cell>
          <cell r="F574" t="str">
            <v>NO</v>
          </cell>
          <cell r="G574" t="str">
            <v>NO</v>
          </cell>
          <cell r="H574" t="str">
            <v>NO</v>
          </cell>
          <cell r="I574" t="str">
            <v>NO</v>
          </cell>
          <cell r="J574" t="str">
            <v>YES</v>
          </cell>
          <cell r="K574" t="str">
            <v>NO</v>
          </cell>
          <cell r="L574" t="str">
            <v>NO</v>
          </cell>
          <cell r="M574" t="str">
            <v>YES</v>
          </cell>
          <cell r="N574" t="str">
            <v>NO</v>
          </cell>
        </row>
        <row r="575">
          <cell r="A575">
            <v>5155</v>
          </cell>
          <cell r="B575">
            <v>571</v>
          </cell>
          <cell r="C575">
            <v>7</v>
          </cell>
          <cell r="D575" t="str">
            <v>NO</v>
          </cell>
          <cell r="E575" t="str">
            <v>YES</v>
          </cell>
          <cell r="F575" t="str">
            <v>NO</v>
          </cell>
          <cell r="G575" t="str">
            <v>NO</v>
          </cell>
          <cell r="H575" t="str">
            <v>NO</v>
          </cell>
          <cell r="I575" t="str">
            <v>NO</v>
          </cell>
          <cell r="J575" t="str">
            <v>YES</v>
          </cell>
          <cell r="K575" t="str">
            <v>NO</v>
          </cell>
          <cell r="L575" t="str">
            <v>NO</v>
          </cell>
          <cell r="M575" t="str">
            <v>YES</v>
          </cell>
          <cell r="N575" t="str">
            <v>NO</v>
          </cell>
        </row>
        <row r="576">
          <cell r="A576">
            <v>5160</v>
          </cell>
          <cell r="B576">
            <v>571</v>
          </cell>
          <cell r="C576">
            <v>7</v>
          </cell>
          <cell r="D576" t="str">
            <v>NO</v>
          </cell>
          <cell r="E576" t="str">
            <v>YES</v>
          </cell>
          <cell r="F576" t="str">
            <v>NO</v>
          </cell>
          <cell r="G576" t="str">
            <v>NO</v>
          </cell>
          <cell r="H576" t="str">
            <v>NO</v>
          </cell>
          <cell r="I576" t="str">
            <v>NO</v>
          </cell>
          <cell r="J576" t="str">
            <v>YES</v>
          </cell>
          <cell r="K576" t="str">
            <v>NO</v>
          </cell>
          <cell r="L576" t="str">
            <v>NO</v>
          </cell>
          <cell r="M576" t="str">
            <v>YES</v>
          </cell>
          <cell r="N576" t="str">
            <v>NO</v>
          </cell>
        </row>
        <row r="577">
          <cell r="A577">
            <v>5165</v>
          </cell>
          <cell r="B577">
            <v>571</v>
          </cell>
          <cell r="C577">
            <v>7</v>
          </cell>
          <cell r="D577" t="str">
            <v>NO</v>
          </cell>
          <cell r="E577" t="str">
            <v>YES</v>
          </cell>
          <cell r="F577" t="str">
            <v>NO</v>
          </cell>
          <cell r="G577" t="str">
            <v>NO</v>
          </cell>
          <cell r="H577" t="str">
            <v>NO</v>
          </cell>
          <cell r="I577" t="str">
            <v>NO</v>
          </cell>
          <cell r="J577" t="str">
            <v>YES</v>
          </cell>
          <cell r="K577" t="str">
            <v>NO</v>
          </cell>
          <cell r="L577" t="str">
            <v>NO</v>
          </cell>
          <cell r="M577" t="str">
            <v>YES</v>
          </cell>
          <cell r="N577" t="str">
            <v>NO</v>
          </cell>
        </row>
        <row r="578">
          <cell r="A578">
            <v>5180</v>
          </cell>
          <cell r="B578">
            <v>571</v>
          </cell>
          <cell r="C578">
            <v>7</v>
          </cell>
          <cell r="D578" t="str">
            <v>NO</v>
          </cell>
          <cell r="E578" t="str">
            <v>YES</v>
          </cell>
          <cell r="F578" t="str">
            <v>NO</v>
          </cell>
          <cell r="G578" t="str">
            <v>NO</v>
          </cell>
          <cell r="H578" t="str">
            <v>NO</v>
          </cell>
          <cell r="I578" t="str">
            <v>NO</v>
          </cell>
          <cell r="J578" t="str">
            <v>YES</v>
          </cell>
          <cell r="K578" t="str">
            <v>NO</v>
          </cell>
          <cell r="L578" t="str">
            <v>NO</v>
          </cell>
          <cell r="M578" t="str">
            <v>YES</v>
          </cell>
          <cell r="N578" t="str">
            <v>NO</v>
          </cell>
        </row>
        <row r="579">
          <cell r="A579">
            <v>5185</v>
          </cell>
          <cell r="B579">
            <v>571</v>
          </cell>
          <cell r="C579">
            <v>7</v>
          </cell>
          <cell r="D579" t="str">
            <v>NO</v>
          </cell>
          <cell r="E579" t="str">
            <v>YES</v>
          </cell>
          <cell r="F579" t="str">
            <v>NO</v>
          </cell>
          <cell r="G579" t="str">
            <v>NO</v>
          </cell>
          <cell r="H579" t="str">
            <v>NO</v>
          </cell>
          <cell r="I579" t="str">
            <v>NO</v>
          </cell>
          <cell r="J579" t="str">
            <v>YES</v>
          </cell>
          <cell r="K579" t="str">
            <v>NO</v>
          </cell>
          <cell r="L579" t="str">
            <v>NO</v>
          </cell>
          <cell r="M579" t="str">
            <v>YES</v>
          </cell>
          <cell r="N579" t="str">
            <v>NO</v>
          </cell>
        </row>
        <row r="580">
          <cell r="A580">
            <v>5200</v>
          </cell>
          <cell r="B580">
            <v>571</v>
          </cell>
          <cell r="C580">
            <v>7</v>
          </cell>
          <cell r="D580" t="str">
            <v>NO</v>
          </cell>
          <cell r="E580" t="str">
            <v>YES</v>
          </cell>
          <cell r="F580" t="str">
            <v>NO</v>
          </cell>
          <cell r="G580" t="str">
            <v>NO</v>
          </cell>
          <cell r="H580" t="str">
            <v>NO</v>
          </cell>
          <cell r="I580" t="str">
            <v>NO</v>
          </cell>
          <cell r="J580" t="str">
            <v>YES</v>
          </cell>
          <cell r="K580" t="str">
            <v>NO</v>
          </cell>
          <cell r="L580" t="str">
            <v>NO</v>
          </cell>
          <cell r="M580" t="str">
            <v>YES</v>
          </cell>
          <cell r="N580" t="str">
            <v>NO</v>
          </cell>
        </row>
        <row r="581">
          <cell r="A581">
            <v>5210</v>
          </cell>
          <cell r="B581">
            <v>571</v>
          </cell>
          <cell r="C581">
            <v>7</v>
          </cell>
          <cell r="D581" t="str">
            <v>NO</v>
          </cell>
          <cell r="E581" t="str">
            <v>YES</v>
          </cell>
          <cell r="F581" t="str">
            <v>NO</v>
          </cell>
          <cell r="G581" t="str">
            <v>NO</v>
          </cell>
          <cell r="H581" t="str">
            <v>NO</v>
          </cell>
          <cell r="I581" t="str">
            <v>NO</v>
          </cell>
          <cell r="J581" t="str">
            <v>YES</v>
          </cell>
          <cell r="K581" t="str">
            <v>NO</v>
          </cell>
          <cell r="L581" t="str">
            <v>NO</v>
          </cell>
          <cell r="M581" t="str">
            <v>YES</v>
          </cell>
          <cell r="N581" t="str">
            <v>NO</v>
          </cell>
        </row>
        <row r="582">
          <cell r="A582">
            <v>5225</v>
          </cell>
          <cell r="B582">
            <v>571</v>
          </cell>
          <cell r="C582">
            <v>7</v>
          </cell>
          <cell r="D582" t="str">
            <v>NO</v>
          </cell>
          <cell r="E582" t="str">
            <v>YES</v>
          </cell>
          <cell r="F582" t="str">
            <v>NO</v>
          </cell>
          <cell r="G582" t="str">
            <v>NO</v>
          </cell>
          <cell r="H582" t="str">
            <v>NO</v>
          </cell>
          <cell r="I582" t="str">
            <v>NO</v>
          </cell>
          <cell r="J582" t="str">
            <v>YES</v>
          </cell>
          <cell r="K582" t="str">
            <v>NO</v>
          </cell>
          <cell r="L582" t="str">
            <v>NO</v>
          </cell>
          <cell r="M582" t="str">
            <v>YES</v>
          </cell>
          <cell r="N582" t="str">
            <v>NO</v>
          </cell>
        </row>
        <row r="583">
          <cell r="A583">
            <v>5230</v>
          </cell>
          <cell r="B583">
            <v>571</v>
          </cell>
          <cell r="C583">
            <v>7</v>
          </cell>
          <cell r="D583" t="str">
            <v>NO</v>
          </cell>
          <cell r="E583" t="str">
            <v>YES</v>
          </cell>
          <cell r="F583" t="str">
            <v>NO</v>
          </cell>
          <cell r="G583" t="str">
            <v>NO</v>
          </cell>
          <cell r="H583" t="str">
            <v>NO</v>
          </cell>
          <cell r="I583" t="str">
            <v>NO</v>
          </cell>
          <cell r="J583" t="str">
            <v>YES</v>
          </cell>
          <cell r="K583" t="str">
            <v>NO</v>
          </cell>
          <cell r="L583" t="str">
            <v>NO</v>
          </cell>
          <cell r="M583" t="str">
            <v>YES</v>
          </cell>
          <cell r="N583" t="str">
            <v>NO</v>
          </cell>
        </row>
        <row r="584">
          <cell r="A584">
            <v>5245</v>
          </cell>
          <cell r="B584">
            <v>571</v>
          </cell>
          <cell r="C584">
            <v>7</v>
          </cell>
          <cell r="D584" t="str">
            <v>NO</v>
          </cell>
          <cell r="E584" t="str">
            <v>YES</v>
          </cell>
          <cell r="F584" t="str">
            <v>NO</v>
          </cell>
          <cell r="G584" t="str">
            <v>NO</v>
          </cell>
          <cell r="H584" t="str">
            <v>NO</v>
          </cell>
          <cell r="I584" t="str">
            <v>NO</v>
          </cell>
          <cell r="J584" t="str">
            <v>YES</v>
          </cell>
          <cell r="K584" t="str">
            <v>NO</v>
          </cell>
          <cell r="L584" t="str">
            <v>NO</v>
          </cell>
          <cell r="M584" t="str">
            <v>YES</v>
          </cell>
          <cell r="N584" t="str">
            <v>NO</v>
          </cell>
        </row>
        <row r="585">
          <cell r="A585">
            <v>5300</v>
          </cell>
          <cell r="B585">
            <v>571</v>
          </cell>
          <cell r="C585">
            <v>7</v>
          </cell>
          <cell r="D585" t="str">
            <v>NO</v>
          </cell>
          <cell r="E585" t="str">
            <v>YES</v>
          </cell>
          <cell r="F585" t="str">
            <v>NO</v>
          </cell>
          <cell r="G585" t="str">
            <v>NO</v>
          </cell>
          <cell r="H585" t="str">
            <v>NO</v>
          </cell>
          <cell r="I585" t="str">
            <v>NO</v>
          </cell>
          <cell r="J585" t="str">
            <v>YES</v>
          </cell>
          <cell r="K585" t="str">
            <v>NO</v>
          </cell>
          <cell r="L585" t="str">
            <v>NO</v>
          </cell>
          <cell r="M585" t="str">
            <v>YES</v>
          </cell>
          <cell r="N585" t="str">
            <v>NO</v>
          </cell>
        </row>
        <row r="586">
          <cell r="A586">
            <v>5301</v>
          </cell>
          <cell r="B586">
            <v>571</v>
          </cell>
          <cell r="C586">
            <v>7</v>
          </cell>
          <cell r="D586" t="str">
            <v>NO</v>
          </cell>
          <cell r="E586" t="str">
            <v>YES</v>
          </cell>
          <cell r="F586" t="str">
            <v>NO</v>
          </cell>
          <cell r="G586" t="str">
            <v>NO</v>
          </cell>
          <cell r="H586" t="str">
            <v>NO</v>
          </cell>
          <cell r="I586" t="str">
            <v>NO</v>
          </cell>
          <cell r="J586" t="str">
            <v>YES</v>
          </cell>
          <cell r="K586" t="str">
            <v>NO</v>
          </cell>
          <cell r="L586" t="str">
            <v>NO</v>
          </cell>
          <cell r="M586" t="str">
            <v>YES</v>
          </cell>
          <cell r="N586" t="str">
            <v>NO</v>
          </cell>
        </row>
        <row r="587">
          <cell r="A587">
            <v>5315</v>
          </cell>
          <cell r="B587">
            <v>571</v>
          </cell>
          <cell r="C587">
            <v>7</v>
          </cell>
          <cell r="D587" t="str">
            <v>NO</v>
          </cell>
          <cell r="E587" t="str">
            <v>YES</v>
          </cell>
          <cell r="F587" t="str">
            <v>NO</v>
          </cell>
          <cell r="G587" t="str">
            <v>NO</v>
          </cell>
          <cell r="H587" t="str">
            <v>NO</v>
          </cell>
          <cell r="I587" t="str">
            <v>NO</v>
          </cell>
          <cell r="J587" t="str">
            <v>YES</v>
          </cell>
          <cell r="K587" t="str">
            <v>NO</v>
          </cell>
          <cell r="L587" t="str">
            <v>NO</v>
          </cell>
          <cell r="M587" t="str">
            <v>YES</v>
          </cell>
          <cell r="N587" t="str">
            <v>NO</v>
          </cell>
        </row>
        <row r="588">
          <cell r="A588">
            <v>5320</v>
          </cell>
          <cell r="B588">
            <v>571</v>
          </cell>
          <cell r="C588">
            <v>7</v>
          </cell>
          <cell r="D588" t="str">
            <v>NO</v>
          </cell>
          <cell r="E588" t="str">
            <v>YES</v>
          </cell>
          <cell r="F588" t="str">
            <v>NO</v>
          </cell>
          <cell r="G588" t="str">
            <v>NO</v>
          </cell>
          <cell r="H588" t="str">
            <v>NO</v>
          </cell>
          <cell r="I588" t="str">
            <v>NO</v>
          </cell>
          <cell r="J588" t="str">
            <v>YES</v>
          </cell>
          <cell r="K588" t="str">
            <v>NO</v>
          </cell>
          <cell r="L588" t="str">
            <v>NO</v>
          </cell>
          <cell r="M588" t="str">
            <v>YES</v>
          </cell>
          <cell r="N588" t="str">
            <v>NO</v>
          </cell>
        </row>
        <row r="589">
          <cell r="A589">
            <v>5335</v>
          </cell>
          <cell r="B589">
            <v>571</v>
          </cell>
          <cell r="C589">
            <v>7</v>
          </cell>
          <cell r="D589" t="str">
            <v>NO</v>
          </cell>
          <cell r="E589" t="str">
            <v>YES</v>
          </cell>
          <cell r="F589" t="str">
            <v>NO</v>
          </cell>
          <cell r="G589" t="str">
            <v>NO</v>
          </cell>
          <cell r="H589" t="str">
            <v>NO</v>
          </cell>
          <cell r="I589" t="str">
            <v>NO</v>
          </cell>
          <cell r="J589" t="str">
            <v>YES</v>
          </cell>
          <cell r="K589" t="str">
            <v>NO</v>
          </cell>
          <cell r="L589" t="str">
            <v>NO</v>
          </cell>
          <cell r="M589" t="str">
            <v>YES</v>
          </cell>
          <cell r="N589" t="str">
            <v>NO</v>
          </cell>
        </row>
        <row r="590">
          <cell r="A590">
            <v>5340</v>
          </cell>
          <cell r="B590">
            <v>571</v>
          </cell>
          <cell r="C590">
            <v>7</v>
          </cell>
          <cell r="D590" t="str">
            <v>NO</v>
          </cell>
          <cell r="E590" t="str">
            <v>YES</v>
          </cell>
          <cell r="F590" t="str">
            <v>NO</v>
          </cell>
          <cell r="G590" t="str">
            <v>NO</v>
          </cell>
          <cell r="H590" t="str">
            <v>NO</v>
          </cell>
          <cell r="I590" t="str">
            <v>NO</v>
          </cell>
          <cell r="J590" t="str">
            <v>YES</v>
          </cell>
          <cell r="K590" t="str">
            <v>NO</v>
          </cell>
          <cell r="L590" t="str">
            <v>NO</v>
          </cell>
          <cell r="M590" t="str">
            <v>YES</v>
          </cell>
          <cell r="N590" t="str">
            <v>NO</v>
          </cell>
        </row>
        <row r="591">
          <cell r="A591">
            <v>5350</v>
          </cell>
          <cell r="B591">
            <v>571</v>
          </cell>
          <cell r="C591">
            <v>7</v>
          </cell>
          <cell r="D591" t="str">
            <v>NO</v>
          </cell>
          <cell r="E591" t="str">
            <v>YES</v>
          </cell>
          <cell r="F591" t="str">
            <v>NO</v>
          </cell>
          <cell r="G591" t="str">
            <v>NO</v>
          </cell>
          <cell r="H591" t="str">
            <v>NO</v>
          </cell>
          <cell r="I591" t="str">
            <v>NO</v>
          </cell>
          <cell r="J591" t="str">
            <v>YES</v>
          </cell>
          <cell r="K591" t="str">
            <v>NO</v>
          </cell>
          <cell r="L591" t="str">
            <v>NO</v>
          </cell>
          <cell r="M591" t="str">
            <v>YES</v>
          </cell>
          <cell r="N591" t="str">
            <v>NO</v>
          </cell>
        </row>
        <row r="592">
          <cell r="A592">
            <v>5360</v>
          </cell>
          <cell r="B592">
            <v>571</v>
          </cell>
          <cell r="C592">
            <v>7</v>
          </cell>
          <cell r="D592" t="str">
            <v>NO</v>
          </cell>
          <cell r="E592" t="str">
            <v>YES</v>
          </cell>
          <cell r="F592" t="str">
            <v>NO</v>
          </cell>
          <cell r="G592" t="str">
            <v>NO</v>
          </cell>
          <cell r="H592" t="str">
            <v>NO</v>
          </cell>
          <cell r="I592" t="str">
            <v>NO</v>
          </cell>
          <cell r="J592" t="str">
            <v>YES</v>
          </cell>
          <cell r="K592" t="str">
            <v>NO</v>
          </cell>
          <cell r="L592" t="str">
            <v>NO</v>
          </cell>
          <cell r="M592" t="str">
            <v>YES</v>
          </cell>
          <cell r="N592" t="str">
            <v>NO</v>
          </cell>
        </row>
        <row r="593">
          <cell r="A593">
            <v>5370</v>
          </cell>
          <cell r="B593">
            <v>571</v>
          </cell>
          <cell r="C593">
            <v>7</v>
          </cell>
          <cell r="D593" t="str">
            <v>NO</v>
          </cell>
          <cell r="E593" t="str">
            <v>YES</v>
          </cell>
          <cell r="F593" t="str">
            <v>NO</v>
          </cell>
          <cell r="G593" t="str">
            <v>NO</v>
          </cell>
          <cell r="H593" t="str">
            <v>NO</v>
          </cell>
          <cell r="I593" t="str">
            <v>NO</v>
          </cell>
          <cell r="J593" t="str">
            <v>YES</v>
          </cell>
          <cell r="K593" t="str">
            <v>NO</v>
          </cell>
          <cell r="L593" t="str">
            <v>NO</v>
          </cell>
          <cell r="M593" t="str">
            <v>YES</v>
          </cell>
          <cell r="N593" t="str">
            <v>NO</v>
          </cell>
        </row>
        <row r="594">
          <cell r="A594">
            <v>5385</v>
          </cell>
          <cell r="B594">
            <v>571</v>
          </cell>
          <cell r="C594">
            <v>7</v>
          </cell>
          <cell r="D594" t="str">
            <v>NO</v>
          </cell>
          <cell r="E594" t="str">
            <v>YES</v>
          </cell>
          <cell r="F594" t="str">
            <v>NO</v>
          </cell>
          <cell r="G594" t="str">
            <v>NO</v>
          </cell>
          <cell r="H594" t="str">
            <v>NO</v>
          </cell>
          <cell r="I594" t="str">
            <v>NO</v>
          </cell>
          <cell r="J594" t="str">
            <v>YES</v>
          </cell>
          <cell r="K594" t="str">
            <v>NO</v>
          </cell>
          <cell r="L594" t="str">
            <v>NO</v>
          </cell>
          <cell r="M594" t="str">
            <v>YES</v>
          </cell>
          <cell r="N594" t="str">
            <v>NO</v>
          </cell>
        </row>
        <row r="595">
          <cell r="A595">
            <v>5400</v>
          </cell>
          <cell r="B595">
            <v>571</v>
          </cell>
          <cell r="C595">
            <v>7</v>
          </cell>
          <cell r="D595" t="str">
            <v>NO</v>
          </cell>
          <cell r="E595" t="str">
            <v>YES</v>
          </cell>
          <cell r="F595" t="str">
            <v>NO</v>
          </cell>
          <cell r="G595" t="str">
            <v>NO</v>
          </cell>
          <cell r="H595" t="str">
            <v>NO</v>
          </cell>
          <cell r="I595" t="str">
            <v>NO</v>
          </cell>
          <cell r="J595" t="str">
            <v>YES</v>
          </cell>
          <cell r="K595" t="str">
            <v>NO</v>
          </cell>
          <cell r="L595" t="str">
            <v>NO</v>
          </cell>
          <cell r="M595" t="str">
            <v>YES</v>
          </cell>
          <cell r="N595" t="str">
            <v>NO</v>
          </cell>
        </row>
        <row r="596">
          <cell r="A596">
            <v>5425</v>
          </cell>
          <cell r="B596">
            <v>571</v>
          </cell>
          <cell r="C596">
            <v>7</v>
          </cell>
          <cell r="D596" t="str">
            <v>NO</v>
          </cell>
          <cell r="E596" t="str">
            <v>YES</v>
          </cell>
          <cell r="F596" t="str">
            <v>NO</v>
          </cell>
          <cell r="G596" t="str">
            <v>NO</v>
          </cell>
          <cell r="H596" t="str">
            <v>NO</v>
          </cell>
          <cell r="I596" t="str">
            <v>NO</v>
          </cell>
          <cell r="J596" t="str">
            <v>YES</v>
          </cell>
          <cell r="K596" t="str">
            <v>NO</v>
          </cell>
          <cell r="L596" t="str">
            <v>NO</v>
          </cell>
          <cell r="M596" t="str">
            <v>YES</v>
          </cell>
          <cell r="N596" t="str">
            <v>NO</v>
          </cell>
        </row>
        <row r="597">
          <cell r="A597">
            <v>5430</v>
          </cell>
          <cell r="B597">
            <v>571</v>
          </cell>
          <cell r="C597">
            <v>7</v>
          </cell>
          <cell r="D597" t="str">
            <v>NO</v>
          </cell>
          <cell r="E597" t="str">
            <v>YES</v>
          </cell>
          <cell r="F597" t="str">
            <v>NO</v>
          </cell>
          <cell r="G597" t="str">
            <v>NO</v>
          </cell>
          <cell r="H597" t="str">
            <v>NO</v>
          </cell>
          <cell r="I597" t="str">
            <v>NO</v>
          </cell>
          <cell r="J597" t="str">
            <v>YES</v>
          </cell>
          <cell r="K597" t="str">
            <v>NO</v>
          </cell>
          <cell r="L597" t="str">
            <v>NO</v>
          </cell>
          <cell r="M597" t="str">
            <v>YES</v>
          </cell>
          <cell r="N597" t="str">
            <v>NO</v>
          </cell>
        </row>
        <row r="598">
          <cell r="A598">
            <v>5445</v>
          </cell>
          <cell r="B598">
            <v>571</v>
          </cell>
          <cell r="C598">
            <v>7</v>
          </cell>
          <cell r="D598" t="str">
            <v>NO</v>
          </cell>
          <cell r="E598" t="str">
            <v>YES</v>
          </cell>
          <cell r="F598" t="str">
            <v>NO</v>
          </cell>
          <cell r="G598" t="str">
            <v>NO</v>
          </cell>
          <cell r="H598" t="str">
            <v>NO</v>
          </cell>
          <cell r="I598" t="str">
            <v>NO</v>
          </cell>
          <cell r="J598" t="str">
            <v>YES</v>
          </cell>
          <cell r="K598" t="str">
            <v>NO</v>
          </cell>
          <cell r="L598" t="str">
            <v>NO</v>
          </cell>
          <cell r="M598" t="str">
            <v>YES</v>
          </cell>
          <cell r="N598" t="str">
            <v>NO</v>
          </cell>
        </row>
        <row r="599">
          <cell r="A599">
            <v>5450</v>
          </cell>
          <cell r="B599">
            <v>571</v>
          </cell>
          <cell r="C599">
            <v>7</v>
          </cell>
          <cell r="D599" t="str">
            <v>NO</v>
          </cell>
          <cell r="E599" t="str">
            <v>YES</v>
          </cell>
          <cell r="F599" t="str">
            <v>NO</v>
          </cell>
          <cell r="G599" t="str">
            <v>NO</v>
          </cell>
          <cell r="H599" t="str">
            <v>NO</v>
          </cell>
          <cell r="I599" t="str">
            <v>NO</v>
          </cell>
          <cell r="J599" t="str">
            <v>YES</v>
          </cell>
          <cell r="K599" t="str">
            <v>NO</v>
          </cell>
          <cell r="L599" t="str">
            <v>NO</v>
          </cell>
          <cell r="M599" t="str">
            <v>YES</v>
          </cell>
          <cell r="N599" t="str">
            <v>NO</v>
          </cell>
        </row>
        <row r="600">
          <cell r="A600">
            <v>5455</v>
          </cell>
          <cell r="B600">
            <v>571</v>
          </cell>
          <cell r="C600">
            <v>7</v>
          </cell>
          <cell r="D600" t="str">
            <v>NO</v>
          </cell>
          <cell r="E600" t="str">
            <v>YES</v>
          </cell>
          <cell r="F600" t="str">
            <v>NO</v>
          </cell>
          <cell r="G600" t="str">
            <v>NO</v>
          </cell>
          <cell r="H600" t="str">
            <v>NO</v>
          </cell>
          <cell r="I600" t="str">
            <v>NO</v>
          </cell>
          <cell r="J600" t="str">
            <v>YES</v>
          </cell>
          <cell r="K600" t="str">
            <v>NO</v>
          </cell>
          <cell r="L600" t="str">
            <v>NO</v>
          </cell>
          <cell r="M600" t="str">
            <v>YES</v>
          </cell>
          <cell r="N600" t="str">
            <v>NO</v>
          </cell>
        </row>
        <row r="601">
          <cell r="A601">
            <v>5460</v>
          </cell>
          <cell r="B601">
            <v>571</v>
          </cell>
          <cell r="C601">
            <v>7</v>
          </cell>
          <cell r="D601" t="str">
            <v>NO</v>
          </cell>
          <cell r="E601" t="str">
            <v>YES</v>
          </cell>
          <cell r="F601" t="str">
            <v>NO</v>
          </cell>
          <cell r="G601" t="str">
            <v>NO</v>
          </cell>
          <cell r="H601" t="str">
            <v>NO</v>
          </cell>
          <cell r="I601" t="str">
            <v>NO</v>
          </cell>
          <cell r="J601" t="str">
            <v>YES</v>
          </cell>
          <cell r="K601" t="str">
            <v>NO</v>
          </cell>
          <cell r="L601" t="str">
            <v>NO</v>
          </cell>
          <cell r="M601" t="str">
            <v>YES</v>
          </cell>
          <cell r="N601" t="str">
            <v>NO</v>
          </cell>
        </row>
        <row r="602">
          <cell r="A602">
            <v>5470</v>
          </cell>
          <cell r="B602">
            <v>571</v>
          </cell>
          <cell r="C602">
            <v>7</v>
          </cell>
          <cell r="D602" t="str">
            <v>NO</v>
          </cell>
          <cell r="E602" t="str">
            <v>YES</v>
          </cell>
          <cell r="F602" t="str">
            <v>NO</v>
          </cell>
          <cell r="G602" t="str">
            <v>NO</v>
          </cell>
          <cell r="H602" t="str">
            <v>NO</v>
          </cell>
          <cell r="I602" t="str">
            <v>NO</v>
          </cell>
          <cell r="J602" t="str">
            <v>YES</v>
          </cell>
          <cell r="K602" t="str">
            <v>NO</v>
          </cell>
          <cell r="L602" t="str">
            <v>NO</v>
          </cell>
          <cell r="M602" t="str">
            <v>YES</v>
          </cell>
          <cell r="N602" t="str">
            <v>NO</v>
          </cell>
        </row>
        <row r="603">
          <cell r="A603">
            <v>5485</v>
          </cell>
          <cell r="B603">
            <v>571</v>
          </cell>
          <cell r="C603">
            <v>7</v>
          </cell>
          <cell r="D603" t="str">
            <v>NO</v>
          </cell>
          <cell r="E603" t="str">
            <v>YES</v>
          </cell>
          <cell r="F603" t="str">
            <v>NO</v>
          </cell>
          <cell r="G603" t="str">
            <v>NO</v>
          </cell>
          <cell r="H603" t="str">
            <v>NO</v>
          </cell>
          <cell r="I603" t="str">
            <v>NO</v>
          </cell>
          <cell r="J603" t="str">
            <v>YES</v>
          </cell>
          <cell r="K603" t="str">
            <v>NO</v>
          </cell>
          <cell r="L603" t="str">
            <v>NO</v>
          </cell>
          <cell r="M603" t="str">
            <v>YES</v>
          </cell>
          <cell r="N603" t="str">
            <v>NO</v>
          </cell>
        </row>
        <row r="604">
          <cell r="A604">
            <v>6000</v>
          </cell>
          <cell r="B604">
            <v>570</v>
          </cell>
          <cell r="C604">
            <v>7</v>
          </cell>
          <cell r="D604" t="str">
            <v>NO</v>
          </cell>
          <cell r="E604" t="str">
            <v>YES</v>
          </cell>
          <cell r="F604" t="str">
            <v>NO</v>
          </cell>
          <cell r="G604" t="str">
            <v>NO</v>
          </cell>
          <cell r="H604" t="str">
            <v>NO</v>
          </cell>
          <cell r="I604" t="str">
            <v>NO</v>
          </cell>
          <cell r="J604" t="str">
            <v>YES</v>
          </cell>
          <cell r="K604" t="str">
            <v>NO</v>
          </cell>
          <cell r="L604" t="str">
            <v>NO</v>
          </cell>
          <cell r="M604" t="str">
            <v>YES</v>
          </cell>
          <cell r="N604" t="str">
            <v>NO</v>
          </cell>
        </row>
        <row r="605">
          <cell r="A605">
            <v>6004</v>
          </cell>
          <cell r="B605">
            <v>570</v>
          </cell>
          <cell r="C605">
            <v>7</v>
          </cell>
          <cell r="D605" t="str">
            <v>NO</v>
          </cell>
          <cell r="E605" t="str">
            <v>YES</v>
          </cell>
          <cell r="F605" t="str">
            <v>NO</v>
          </cell>
          <cell r="G605" t="str">
            <v>NO</v>
          </cell>
          <cell r="H605" t="str">
            <v>NO</v>
          </cell>
          <cell r="I605" t="str">
            <v>NO</v>
          </cell>
          <cell r="J605" t="str">
            <v>YES</v>
          </cell>
          <cell r="K605" t="str">
            <v>NO</v>
          </cell>
          <cell r="L605" t="str">
            <v>NO</v>
          </cell>
          <cell r="M605" t="str">
            <v>YES</v>
          </cell>
          <cell r="N605" t="str">
            <v>NO</v>
          </cell>
        </row>
        <row r="606">
          <cell r="A606">
            <v>6005</v>
          </cell>
          <cell r="B606">
            <v>570</v>
          </cell>
          <cell r="C606">
            <v>7</v>
          </cell>
          <cell r="D606" t="str">
            <v>NO</v>
          </cell>
          <cell r="E606" t="str">
            <v>YES</v>
          </cell>
          <cell r="F606" t="str">
            <v>NO</v>
          </cell>
          <cell r="G606" t="str">
            <v>NO</v>
          </cell>
          <cell r="H606" t="str">
            <v>NO</v>
          </cell>
          <cell r="I606" t="str">
            <v>NO</v>
          </cell>
          <cell r="J606" t="str">
            <v>YES</v>
          </cell>
          <cell r="K606" t="str">
            <v>NO</v>
          </cell>
          <cell r="L606" t="str">
            <v>NO</v>
          </cell>
          <cell r="M606" t="str">
            <v>YES</v>
          </cell>
          <cell r="N606" t="str">
            <v>NO</v>
          </cell>
        </row>
        <row r="607">
          <cell r="A607">
            <v>6015</v>
          </cell>
          <cell r="B607">
            <v>570</v>
          </cell>
          <cell r="C607">
            <v>7</v>
          </cell>
          <cell r="D607" t="str">
            <v>NO</v>
          </cell>
          <cell r="E607" t="str">
            <v>YES</v>
          </cell>
          <cell r="F607" t="str">
            <v>NO</v>
          </cell>
          <cell r="G607" t="str">
            <v>NO</v>
          </cell>
          <cell r="H607" t="str">
            <v>NO</v>
          </cell>
          <cell r="I607" t="str">
            <v>NO</v>
          </cell>
          <cell r="J607" t="str">
            <v>YES</v>
          </cell>
          <cell r="K607" t="str">
            <v>NO</v>
          </cell>
          <cell r="L607" t="str">
            <v>NO</v>
          </cell>
          <cell r="M607" t="str">
            <v>YES</v>
          </cell>
          <cell r="N607" t="str">
            <v>NO</v>
          </cell>
        </row>
        <row r="608">
          <cell r="A608">
            <v>6025</v>
          </cell>
          <cell r="B608">
            <v>570</v>
          </cell>
          <cell r="C608">
            <v>7</v>
          </cell>
          <cell r="D608" t="str">
            <v>NO</v>
          </cell>
          <cell r="E608" t="str">
            <v>YES</v>
          </cell>
          <cell r="F608" t="str">
            <v>NO</v>
          </cell>
          <cell r="G608" t="str">
            <v>NO</v>
          </cell>
          <cell r="H608" t="str">
            <v>NO</v>
          </cell>
          <cell r="I608" t="str">
            <v>NO</v>
          </cell>
          <cell r="J608" t="str">
            <v>YES</v>
          </cell>
          <cell r="K608" t="str">
            <v>NO</v>
          </cell>
          <cell r="L608" t="str">
            <v>NO</v>
          </cell>
          <cell r="M608" t="str">
            <v>YES</v>
          </cell>
          <cell r="N608" t="str">
            <v>NO</v>
          </cell>
        </row>
        <row r="609">
          <cell r="A609">
            <v>6030</v>
          </cell>
          <cell r="B609">
            <v>570</v>
          </cell>
          <cell r="C609">
            <v>7</v>
          </cell>
          <cell r="D609" t="str">
            <v>NO</v>
          </cell>
          <cell r="E609" t="str">
            <v>YES</v>
          </cell>
          <cell r="F609" t="str">
            <v>NO</v>
          </cell>
          <cell r="G609" t="str">
            <v>NO</v>
          </cell>
          <cell r="H609" t="str">
            <v>NO</v>
          </cell>
          <cell r="I609" t="str">
            <v>NO</v>
          </cell>
          <cell r="J609" t="str">
            <v>YES</v>
          </cell>
          <cell r="K609" t="str">
            <v>NO</v>
          </cell>
          <cell r="L609" t="str">
            <v>NO</v>
          </cell>
          <cell r="M609" t="str">
            <v>YES</v>
          </cell>
          <cell r="N609" t="str">
            <v>NO</v>
          </cell>
        </row>
        <row r="610">
          <cell r="A610">
            <v>6040</v>
          </cell>
          <cell r="B610">
            <v>570</v>
          </cell>
          <cell r="C610">
            <v>7</v>
          </cell>
          <cell r="D610" t="str">
            <v>NO</v>
          </cell>
          <cell r="E610" t="str">
            <v>YES</v>
          </cell>
          <cell r="F610" t="str">
            <v>NO</v>
          </cell>
          <cell r="G610" t="str">
            <v>NO</v>
          </cell>
          <cell r="H610" t="str">
            <v>NO</v>
          </cell>
          <cell r="I610" t="str">
            <v>NO</v>
          </cell>
          <cell r="J610" t="str">
            <v>YES</v>
          </cell>
          <cell r="K610" t="str">
            <v>NO</v>
          </cell>
          <cell r="L610" t="str">
            <v>NO</v>
          </cell>
          <cell r="M610" t="str">
            <v>YES</v>
          </cell>
          <cell r="N610" t="str">
            <v>NO</v>
          </cell>
        </row>
        <row r="611">
          <cell r="A611">
            <v>6050</v>
          </cell>
          <cell r="B611">
            <v>570</v>
          </cell>
          <cell r="C611">
            <v>7</v>
          </cell>
          <cell r="D611" t="str">
            <v>NO</v>
          </cell>
          <cell r="E611" t="str">
            <v>YES</v>
          </cell>
          <cell r="F611" t="str">
            <v>NO</v>
          </cell>
          <cell r="G611" t="str">
            <v>NO</v>
          </cell>
          <cell r="H611" t="str">
            <v>NO</v>
          </cell>
          <cell r="I611" t="str">
            <v>NO</v>
          </cell>
          <cell r="J611" t="str">
            <v>YES</v>
          </cell>
          <cell r="K611" t="str">
            <v>NO</v>
          </cell>
          <cell r="L611" t="str">
            <v>NO</v>
          </cell>
          <cell r="M611" t="str">
            <v>YES</v>
          </cell>
          <cell r="N611" t="str">
            <v>NO</v>
          </cell>
        </row>
        <row r="612">
          <cell r="A612">
            <v>6060</v>
          </cell>
          <cell r="B612">
            <v>570</v>
          </cell>
          <cell r="C612">
            <v>7</v>
          </cell>
          <cell r="D612" t="str">
            <v>NO</v>
          </cell>
          <cell r="E612" t="str">
            <v>YES</v>
          </cell>
          <cell r="F612" t="str">
            <v>NO</v>
          </cell>
          <cell r="G612" t="str">
            <v>NO</v>
          </cell>
          <cell r="H612" t="str">
            <v>NO</v>
          </cell>
          <cell r="I612" t="str">
            <v>NO</v>
          </cell>
          <cell r="J612" t="str">
            <v>YES</v>
          </cell>
          <cell r="K612" t="str">
            <v>NO</v>
          </cell>
          <cell r="L612" t="str">
            <v>NO</v>
          </cell>
          <cell r="M612" t="str">
            <v>YES</v>
          </cell>
          <cell r="N612" t="str">
            <v>NO</v>
          </cell>
        </row>
        <row r="613">
          <cell r="A613">
            <v>6065</v>
          </cell>
          <cell r="B613">
            <v>570</v>
          </cell>
          <cell r="C613">
            <v>7</v>
          </cell>
          <cell r="D613" t="str">
            <v>NO</v>
          </cell>
          <cell r="E613" t="str">
            <v>YES</v>
          </cell>
          <cell r="F613" t="str">
            <v>NO</v>
          </cell>
          <cell r="G613" t="str">
            <v>NO</v>
          </cell>
          <cell r="H613" t="str">
            <v>NO</v>
          </cell>
          <cell r="I613" t="str">
            <v>NO</v>
          </cell>
          <cell r="J613" t="str">
            <v>YES</v>
          </cell>
          <cell r="K613" t="str">
            <v>NO</v>
          </cell>
          <cell r="L613" t="str">
            <v>NO</v>
          </cell>
          <cell r="M613" t="str">
            <v>YES</v>
          </cell>
          <cell r="N613" t="str">
            <v>NO</v>
          </cell>
        </row>
        <row r="614">
          <cell r="A614">
            <v>6075</v>
          </cell>
          <cell r="B614">
            <v>570</v>
          </cell>
          <cell r="C614">
            <v>7</v>
          </cell>
          <cell r="D614" t="str">
            <v>NO</v>
          </cell>
          <cell r="E614" t="str">
            <v>YES</v>
          </cell>
          <cell r="F614" t="str">
            <v>NO</v>
          </cell>
          <cell r="G614" t="str">
            <v>NO</v>
          </cell>
          <cell r="H614" t="str">
            <v>NO</v>
          </cell>
          <cell r="I614" t="str">
            <v>NO</v>
          </cell>
          <cell r="J614" t="str">
            <v>YES</v>
          </cell>
          <cell r="K614" t="str">
            <v>NO</v>
          </cell>
          <cell r="L614" t="str">
            <v>NO</v>
          </cell>
          <cell r="M614" t="str">
            <v>YES</v>
          </cell>
          <cell r="N614" t="str">
            <v>NO</v>
          </cell>
        </row>
        <row r="615">
          <cell r="A615">
            <v>6085</v>
          </cell>
          <cell r="B615">
            <v>570</v>
          </cell>
          <cell r="C615">
            <v>7</v>
          </cell>
          <cell r="D615" t="str">
            <v>NO</v>
          </cell>
          <cell r="E615" t="str">
            <v>YES</v>
          </cell>
          <cell r="F615" t="str">
            <v>NO</v>
          </cell>
          <cell r="G615" t="str">
            <v>NO</v>
          </cell>
          <cell r="H615" t="str">
            <v>NO</v>
          </cell>
          <cell r="I615" t="str">
            <v>NO</v>
          </cell>
          <cell r="J615" t="str">
            <v>YES</v>
          </cell>
          <cell r="K615" t="str">
            <v>NO</v>
          </cell>
          <cell r="L615" t="str">
            <v>NO</v>
          </cell>
          <cell r="M615" t="str">
            <v>YES</v>
          </cell>
          <cell r="N615" t="str">
            <v>NO</v>
          </cell>
        </row>
        <row r="616">
          <cell r="A616">
            <v>6090</v>
          </cell>
          <cell r="B616">
            <v>570</v>
          </cell>
          <cell r="C616">
            <v>7</v>
          </cell>
          <cell r="D616" t="str">
            <v>NO</v>
          </cell>
          <cell r="E616" t="str">
            <v>YES</v>
          </cell>
          <cell r="F616" t="str">
            <v>NO</v>
          </cell>
          <cell r="G616" t="str">
            <v>NO</v>
          </cell>
          <cell r="H616" t="str">
            <v>NO</v>
          </cell>
          <cell r="I616" t="str">
            <v>NO</v>
          </cell>
          <cell r="J616" t="str">
            <v>YES</v>
          </cell>
          <cell r="K616" t="str">
            <v>NO</v>
          </cell>
          <cell r="L616" t="str">
            <v>NO</v>
          </cell>
          <cell r="M616" t="str">
            <v>YES</v>
          </cell>
          <cell r="N616" t="str">
            <v>NO</v>
          </cell>
        </row>
        <row r="617">
          <cell r="A617">
            <v>6095</v>
          </cell>
          <cell r="B617">
            <v>570</v>
          </cell>
          <cell r="C617">
            <v>7</v>
          </cell>
          <cell r="D617" t="str">
            <v>NO</v>
          </cell>
          <cell r="E617" t="str">
            <v>YES</v>
          </cell>
          <cell r="F617" t="str">
            <v>NO</v>
          </cell>
          <cell r="G617" t="str">
            <v>NO</v>
          </cell>
          <cell r="H617" t="str">
            <v>NO</v>
          </cell>
          <cell r="I617" t="str">
            <v>NO</v>
          </cell>
          <cell r="J617" t="str">
            <v>YES</v>
          </cell>
          <cell r="K617" t="str">
            <v>NO</v>
          </cell>
          <cell r="L617" t="str">
            <v>NO</v>
          </cell>
          <cell r="M617" t="str">
            <v>YES</v>
          </cell>
          <cell r="N617" t="str">
            <v>NO</v>
          </cell>
        </row>
        <row r="618">
          <cell r="A618">
            <v>6100</v>
          </cell>
          <cell r="B618">
            <v>570</v>
          </cell>
          <cell r="C618">
            <v>7</v>
          </cell>
          <cell r="D618" t="str">
            <v>NO</v>
          </cell>
          <cell r="E618" t="str">
            <v>YES</v>
          </cell>
          <cell r="F618" t="str">
            <v>NO</v>
          </cell>
          <cell r="G618" t="str">
            <v>NO</v>
          </cell>
          <cell r="H618" t="str">
            <v>NO</v>
          </cell>
          <cell r="I618" t="str">
            <v>NO</v>
          </cell>
          <cell r="J618" t="str">
            <v>YES</v>
          </cell>
          <cell r="K618" t="str">
            <v>NO</v>
          </cell>
          <cell r="L618" t="str">
            <v>NO</v>
          </cell>
          <cell r="M618" t="str">
            <v>YES</v>
          </cell>
          <cell r="N618" t="str">
            <v>NO</v>
          </cell>
        </row>
        <row r="619">
          <cell r="A619">
            <v>6110</v>
          </cell>
          <cell r="B619">
            <v>570</v>
          </cell>
          <cell r="C619">
            <v>7</v>
          </cell>
          <cell r="D619" t="str">
            <v>NO</v>
          </cell>
          <cell r="E619" t="str">
            <v>YES</v>
          </cell>
          <cell r="F619" t="str">
            <v>NO</v>
          </cell>
          <cell r="G619" t="str">
            <v>NO</v>
          </cell>
          <cell r="H619" t="str">
            <v>NO</v>
          </cell>
          <cell r="I619" t="str">
            <v>NO</v>
          </cell>
          <cell r="J619" t="str">
            <v>YES</v>
          </cell>
          <cell r="K619" t="str">
            <v>NO</v>
          </cell>
          <cell r="L619" t="str">
            <v>NO</v>
          </cell>
          <cell r="M619" t="str">
            <v>YES</v>
          </cell>
          <cell r="N619" t="str">
            <v>NO</v>
          </cell>
        </row>
        <row r="620">
          <cell r="A620">
            <v>6120</v>
          </cell>
          <cell r="B620">
            <v>570</v>
          </cell>
          <cell r="C620">
            <v>7</v>
          </cell>
          <cell r="D620" t="str">
            <v>NO</v>
          </cell>
          <cell r="E620" t="str">
            <v>YES</v>
          </cell>
          <cell r="F620" t="str">
            <v>NO</v>
          </cell>
          <cell r="G620" t="str">
            <v>NO</v>
          </cell>
          <cell r="H620" t="str">
            <v>NO</v>
          </cell>
          <cell r="I620" t="str">
            <v>NO</v>
          </cell>
          <cell r="J620" t="str">
            <v>YES</v>
          </cell>
          <cell r="K620" t="str">
            <v>NO</v>
          </cell>
          <cell r="L620" t="str">
            <v>NO</v>
          </cell>
          <cell r="M620" t="str">
            <v>YES</v>
          </cell>
          <cell r="N620" t="str">
            <v>NO</v>
          </cell>
        </row>
        <row r="621">
          <cell r="A621">
            <v>6135</v>
          </cell>
          <cell r="B621">
            <v>570</v>
          </cell>
          <cell r="C621">
            <v>7</v>
          </cell>
          <cell r="D621" t="str">
            <v>NO</v>
          </cell>
          <cell r="E621" t="str">
            <v>YES</v>
          </cell>
          <cell r="F621" t="str">
            <v>NO</v>
          </cell>
          <cell r="G621" t="str">
            <v>NO</v>
          </cell>
          <cell r="H621" t="str">
            <v>NO</v>
          </cell>
          <cell r="I621" t="str">
            <v>NO</v>
          </cell>
          <cell r="J621" t="str">
            <v>YES</v>
          </cell>
          <cell r="K621" t="str">
            <v>NO</v>
          </cell>
          <cell r="L621" t="str">
            <v>NO</v>
          </cell>
          <cell r="M621" t="str">
            <v>YES</v>
          </cell>
          <cell r="N621" t="str">
            <v>NO</v>
          </cell>
        </row>
        <row r="622">
          <cell r="A622">
            <v>6145</v>
          </cell>
          <cell r="B622">
            <v>570</v>
          </cell>
          <cell r="C622">
            <v>7</v>
          </cell>
          <cell r="D622" t="str">
            <v>NO</v>
          </cell>
          <cell r="E622" t="str">
            <v>YES</v>
          </cell>
          <cell r="F622" t="str">
            <v>NO</v>
          </cell>
          <cell r="G622" t="str">
            <v>NO</v>
          </cell>
          <cell r="H622" t="str">
            <v>NO</v>
          </cell>
          <cell r="I622" t="str">
            <v>NO</v>
          </cell>
          <cell r="J622" t="str">
            <v>YES</v>
          </cell>
          <cell r="K622" t="str">
            <v>NO</v>
          </cell>
          <cell r="L622" t="str">
            <v>NO</v>
          </cell>
          <cell r="M622" t="str">
            <v>YES</v>
          </cell>
          <cell r="N622" t="str">
            <v>NO</v>
          </cell>
        </row>
        <row r="623">
          <cell r="A623">
            <v>6150</v>
          </cell>
          <cell r="B623">
            <v>570</v>
          </cell>
          <cell r="C623">
            <v>7</v>
          </cell>
          <cell r="D623" t="str">
            <v>NO</v>
          </cell>
          <cell r="E623" t="str">
            <v>YES</v>
          </cell>
          <cell r="F623" t="str">
            <v>NO</v>
          </cell>
          <cell r="G623" t="str">
            <v>NO</v>
          </cell>
          <cell r="H623" t="str">
            <v>NO</v>
          </cell>
          <cell r="I623" t="str">
            <v>NO</v>
          </cell>
          <cell r="J623" t="str">
            <v>YES</v>
          </cell>
          <cell r="K623" t="str">
            <v>NO</v>
          </cell>
          <cell r="L623" t="str">
            <v>NO</v>
          </cell>
          <cell r="M623" t="str">
            <v>YES</v>
          </cell>
          <cell r="N623" t="str">
            <v>NO</v>
          </cell>
        </row>
        <row r="624">
          <cell r="A624">
            <v>6160</v>
          </cell>
          <cell r="B624">
            <v>570</v>
          </cell>
          <cell r="C624">
            <v>7</v>
          </cell>
          <cell r="D624" t="str">
            <v>NO</v>
          </cell>
          <cell r="E624" t="str">
            <v>YES</v>
          </cell>
          <cell r="F624" t="str">
            <v>NO</v>
          </cell>
          <cell r="G624" t="str">
            <v>NO</v>
          </cell>
          <cell r="H624" t="str">
            <v>NO</v>
          </cell>
          <cell r="I624" t="str">
            <v>NO</v>
          </cell>
          <cell r="J624" t="str">
            <v>YES</v>
          </cell>
          <cell r="K624" t="str">
            <v>NO</v>
          </cell>
          <cell r="L624" t="str">
            <v>NO</v>
          </cell>
          <cell r="M624" t="str">
            <v>YES</v>
          </cell>
          <cell r="N624" t="str">
            <v>NO</v>
          </cell>
        </row>
        <row r="625">
          <cell r="A625">
            <v>6175</v>
          </cell>
          <cell r="B625">
            <v>570</v>
          </cell>
          <cell r="C625">
            <v>7</v>
          </cell>
          <cell r="D625" t="str">
            <v>NO</v>
          </cell>
          <cell r="E625" t="str">
            <v>YES</v>
          </cell>
          <cell r="F625" t="str">
            <v>NO</v>
          </cell>
          <cell r="G625" t="str">
            <v>NO</v>
          </cell>
          <cell r="H625" t="str">
            <v>NO</v>
          </cell>
          <cell r="I625" t="str">
            <v>NO</v>
          </cell>
          <cell r="J625" t="str">
            <v>YES</v>
          </cell>
          <cell r="K625" t="str">
            <v>NO</v>
          </cell>
          <cell r="L625" t="str">
            <v>NO</v>
          </cell>
          <cell r="M625" t="str">
            <v>YES</v>
          </cell>
          <cell r="N625" t="str">
            <v>NO</v>
          </cell>
        </row>
        <row r="626">
          <cell r="A626">
            <v>6185</v>
          </cell>
          <cell r="B626">
            <v>570</v>
          </cell>
          <cell r="C626">
            <v>7</v>
          </cell>
          <cell r="D626" t="str">
            <v>NO</v>
          </cell>
          <cell r="E626" t="str">
            <v>YES</v>
          </cell>
          <cell r="F626" t="str">
            <v>NO</v>
          </cell>
          <cell r="G626" t="str">
            <v>NO</v>
          </cell>
          <cell r="H626" t="str">
            <v>NO</v>
          </cell>
          <cell r="I626" t="str">
            <v>NO</v>
          </cell>
          <cell r="J626" t="str">
            <v>YES</v>
          </cell>
          <cell r="K626" t="str">
            <v>NO</v>
          </cell>
          <cell r="L626" t="str">
            <v>NO</v>
          </cell>
          <cell r="M626" t="str">
            <v>YES</v>
          </cell>
          <cell r="N626" t="str">
            <v>NO</v>
          </cell>
        </row>
        <row r="627">
          <cell r="A627">
            <v>6200</v>
          </cell>
          <cell r="B627">
            <v>570</v>
          </cell>
          <cell r="C627">
            <v>7</v>
          </cell>
          <cell r="D627" t="str">
            <v>NO</v>
          </cell>
          <cell r="E627" t="str">
            <v>YES</v>
          </cell>
          <cell r="F627" t="str">
            <v>NO</v>
          </cell>
          <cell r="G627" t="str">
            <v>NO</v>
          </cell>
          <cell r="H627" t="str">
            <v>NO</v>
          </cell>
          <cell r="I627" t="str">
            <v>NO</v>
          </cell>
          <cell r="J627" t="str">
            <v>YES</v>
          </cell>
          <cell r="K627" t="str">
            <v>NO</v>
          </cell>
          <cell r="L627" t="str">
            <v>NO</v>
          </cell>
          <cell r="M627" t="str">
            <v>YES</v>
          </cell>
          <cell r="N627" t="str">
            <v>NO</v>
          </cell>
        </row>
        <row r="628">
          <cell r="A628">
            <v>6201</v>
          </cell>
          <cell r="B628">
            <v>570</v>
          </cell>
          <cell r="C628">
            <v>7</v>
          </cell>
          <cell r="D628" t="str">
            <v>NO</v>
          </cell>
          <cell r="E628" t="str">
            <v>YES</v>
          </cell>
          <cell r="F628" t="str">
            <v>NO</v>
          </cell>
          <cell r="G628" t="str">
            <v>NO</v>
          </cell>
          <cell r="H628" t="str">
            <v>NO</v>
          </cell>
          <cell r="I628" t="str">
            <v>NO</v>
          </cell>
          <cell r="J628" t="str">
            <v>YES</v>
          </cell>
          <cell r="K628" t="str">
            <v>NO</v>
          </cell>
          <cell r="L628" t="str">
            <v>NO</v>
          </cell>
          <cell r="M628" t="str">
            <v>YES</v>
          </cell>
          <cell r="N628" t="str">
            <v>NO</v>
          </cell>
        </row>
        <row r="629">
          <cell r="A629">
            <v>6205</v>
          </cell>
          <cell r="B629">
            <v>570</v>
          </cell>
          <cell r="C629">
            <v>7</v>
          </cell>
          <cell r="D629" t="str">
            <v>NO</v>
          </cell>
          <cell r="E629" t="str">
            <v>YES</v>
          </cell>
          <cell r="F629" t="str">
            <v>NO</v>
          </cell>
          <cell r="G629" t="str">
            <v>NO</v>
          </cell>
          <cell r="H629" t="str">
            <v>NO</v>
          </cell>
          <cell r="I629" t="str">
            <v>NO</v>
          </cell>
          <cell r="J629" t="str">
            <v>YES</v>
          </cell>
          <cell r="K629" t="str">
            <v>NO</v>
          </cell>
          <cell r="L629" t="str">
            <v>NO</v>
          </cell>
          <cell r="M629" t="str">
            <v>YES</v>
          </cell>
          <cell r="N629" t="str">
            <v>NO</v>
          </cell>
        </row>
        <row r="630">
          <cell r="A630">
            <v>6215</v>
          </cell>
          <cell r="B630">
            <v>570</v>
          </cell>
          <cell r="C630">
            <v>7</v>
          </cell>
          <cell r="D630" t="str">
            <v>NO</v>
          </cell>
          <cell r="E630" t="str">
            <v>YES</v>
          </cell>
          <cell r="F630" t="str">
            <v>NO</v>
          </cell>
          <cell r="G630" t="str">
            <v>NO</v>
          </cell>
          <cell r="H630" t="str">
            <v>NO</v>
          </cell>
          <cell r="I630" t="str">
            <v>NO</v>
          </cell>
          <cell r="J630" t="str">
            <v>YES</v>
          </cell>
          <cell r="K630" t="str">
            <v>NO</v>
          </cell>
          <cell r="L630" t="str">
            <v>NO</v>
          </cell>
          <cell r="M630" t="str">
            <v>YES</v>
          </cell>
          <cell r="N630" t="str">
            <v>NO</v>
          </cell>
        </row>
        <row r="631">
          <cell r="A631">
            <v>6225</v>
          </cell>
          <cell r="B631">
            <v>570</v>
          </cell>
          <cell r="C631">
            <v>7</v>
          </cell>
          <cell r="D631" t="str">
            <v>NO</v>
          </cell>
          <cell r="E631" t="str">
            <v>YES</v>
          </cell>
          <cell r="F631" t="str">
            <v>NO</v>
          </cell>
          <cell r="G631" t="str">
            <v>NO</v>
          </cell>
          <cell r="H631" t="str">
            <v>NO</v>
          </cell>
          <cell r="I631" t="str">
            <v>NO</v>
          </cell>
          <cell r="J631" t="str">
            <v>YES</v>
          </cell>
          <cell r="K631" t="str">
            <v>NO</v>
          </cell>
          <cell r="L631" t="str">
            <v>NO</v>
          </cell>
          <cell r="M631" t="str">
            <v>YES</v>
          </cell>
          <cell r="N631" t="str">
            <v>NO</v>
          </cell>
        </row>
        <row r="632">
          <cell r="A632">
            <v>6230</v>
          </cell>
          <cell r="B632">
            <v>570</v>
          </cell>
          <cell r="C632">
            <v>7</v>
          </cell>
          <cell r="D632" t="str">
            <v>NO</v>
          </cell>
          <cell r="E632" t="str">
            <v>YES</v>
          </cell>
          <cell r="F632" t="str">
            <v>NO</v>
          </cell>
          <cell r="G632" t="str">
            <v>NO</v>
          </cell>
          <cell r="H632" t="str">
            <v>NO</v>
          </cell>
          <cell r="I632" t="str">
            <v>NO</v>
          </cell>
          <cell r="J632" t="str">
            <v>YES</v>
          </cell>
          <cell r="K632" t="str">
            <v>NO</v>
          </cell>
          <cell r="L632" t="str">
            <v>NO</v>
          </cell>
          <cell r="M632" t="str">
            <v>YES</v>
          </cell>
          <cell r="N632" t="str">
            <v>NO</v>
          </cell>
        </row>
        <row r="633">
          <cell r="A633">
            <v>6231</v>
          </cell>
          <cell r="B633">
            <v>570</v>
          </cell>
          <cell r="C633">
            <v>7</v>
          </cell>
          <cell r="D633" t="str">
            <v>NO</v>
          </cell>
          <cell r="E633" t="str">
            <v>YES</v>
          </cell>
          <cell r="F633" t="str">
            <v>NO</v>
          </cell>
          <cell r="G633" t="str">
            <v>NO</v>
          </cell>
          <cell r="H633" t="str">
            <v>NO</v>
          </cell>
          <cell r="I633" t="str">
            <v>NO</v>
          </cell>
          <cell r="J633" t="str">
            <v>YES</v>
          </cell>
          <cell r="K633" t="str">
            <v>NO</v>
          </cell>
          <cell r="L633" t="str">
            <v>NO</v>
          </cell>
          <cell r="M633" t="str">
            <v>YES</v>
          </cell>
          <cell r="N633" t="str">
            <v>NO</v>
          </cell>
        </row>
        <row r="634">
          <cell r="A634">
            <v>6235</v>
          </cell>
          <cell r="B634">
            <v>570</v>
          </cell>
          <cell r="C634">
            <v>7</v>
          </cell>
          <cell r="D634" t="str">
            <v>NO</v>
          </cell>
          <cell r="E634" t="str">
            <v>YES</v>
          </cell>
          <cell r="F634" t="str">
            <v>NO</v>
          </cell>
          <cell r="G634" t="str">
            <v>NO</v>
          </cell>
          <cell r="H634" t="str">
            <v>NO</v>
          </cell>
          <cell r="I634" t="str">
            <v>NO</v>
          </cell>
          <cell r="J634" t="str">
            <v>YES</v>
          </cell>
          <cell r="K634" t="str">
            <v>NO</v>
          </cell>
          <cell r="L634" t="str">
            <v>NO</v>
          </cell>
          <cell r="M634" t="str">
            <v>YES</v>
          </cell>
          <cell r="N634" t="str">
            <v>NO</v>
          </cell>
        </row>
        <row r="635">
          <cell r="A635">
            <v>6245</v>
          </cell>
          <cell r="B635">
            <v>570</v>
          </cell>
          <cell r="C635">
            <v>7</v>
          </cell>
          <cell r="D635" t="str">
            <v>NO</v>
          </cell>
          <cell r="E635" t="str">
            <v>YES</v>
          </cell>
          <cell r="F635" t="str">
            <v>NO</v>
          </cell>
          <cell r="G635" t="str">
            <v>NO</v>
          </cell>
          <cell r="H635" t="str">
            <v>NO</v>
          </cell>
          <cell r="I635" t="str">
            <v>NO</v>
          </cell>
          <cell r="J635" t="str">
            <v>YES</v>
          </cell>
          <cell r="K635" t="str">
            <v>NO</v>
          </cell>
          <cell r="L635" t="str">
            <v>NO</v>
          </cell>
          <cell r="M635" t="str">
            <v>YES</v>
          </cell>
          <cell r="N635" t="str">
            <v>NO</v>
          </cell>
        </row>
        <row r="636">
          <cell r="A636">
            <v>6250</v>
          </cell>
          <cell r="B636">
            <v>570</v>
          </cell>
          <cell r="C636">
            <v>7</v>
          </cell>
          <cell r="D636" t="str">
            <v>NO</v>
          </cell>
          <cell r="E636" t="str">
            <v>YES</v>
          </cell>
          <cell r="F636" t="str">
            <v>NO</v>
          </cell>
          <cell r="G636" t="str">
            <v>NO</v>
          </cell>
          <cell r="H636" t="str">
            <v>NO</v>
          </cell>
          <cell r="I636" t="str">
            <v>NO</v>
          </cell>
          <cell r="J636" t="str">
            <v>YES</v>
          </cell>
          <cell r="K636" t="str">
            <v>NO</v>
          </cell>
          <cell r="L636" t="str">
            <v>NO</v>
          </cell>
          <cell r="M636" t="str">
            <v>YES</v>
          </cell>
          <cell r="N636" t="str">
            <v>NO</v>
          </cell>
        </row>
        <row r="637">
          <cell r="A637">
            <v>6260</v>
          </cell>
          <cell r="B637">
            <v>570</v>
          </cell>
          <cell r="C637">
            <v>7</v>
          </cell>
          <cell r="D637" t="str">
            <v>NO</v>
          </cell>
          <cell r="E637" t="str">
            <v>YES</v>
          </cell>
          <cell r="F637" t="str">
            <v>NO</v>
          </cell>
          <cell r="G637" t="str">
            <v>NO</v>
          </cell>
          <cell r="H637" t="str">
            <v>NO</v>
          </cell>
          <cell r="I637" t="str">
            <v>NO</v>
          </cell>
          <cell r="J637" t="str">
            <v>YES</v>
          </cell>
          <cell r="K637" t="str">
            <v>NO</v>
          </cell>
          <cell r="L637" t="str">
            <v>NO</v>
          </cell>
          <cell r="M637" t="str">
            <v>YES</v>
          </cell>
          <cell r="N637" t="str">
            <v>NO</v>
          </cell>
        </row>
        <row r="638">
          <cell r="A638">
            <v>6270</v>
          </cell>
          <cell r="B638">
            <v>570</v>
          </cell>
          <cell r="C638">
            <v>7</v>
          </cell>
          <cell r="D638" t="str">
            <v>NO</v>
          </cell>
          <cell r="E638" t="str">
            <v>YES</v>
          </cell>
          <cell r="F638" t="str">
            <v>NO</v>
          </cell>
          <cell r="G638" t="str">
            <v>NO</v>
          </cell>
          <cell r="H638" t="str">
            <v>NO</v>
          </cell>
          <cell r="I638" t="str">
            <v>NO</v>
          </cell>
          <cell r="J638" t="str">
            <v>YES</v>
          </cell>
          <cell r="K638" t="str">
            <v>NO</v>
          </cell>
          <cell r="L638" t="str">
            <v>NO</v>
          </cell>
          <cell r="M638" t="str">
            <v>YES</v>
          </cell>
          <cell r="N638" t="str">
            <v>NO</v>
          </cell>
        </row>
        <row r="639">
          <cell r="A639">
            <v>6285</v>
          </cell>
          <cell r="B639">
            <v>570</v>
          </cell>
          <cell r="C639">
            <v>7</v>
          </cell>
          <cell r="D639" t="str">
            <v>NO</v>
          </cell>
          <cell r="E639" t="str">
            <v>YES</v>
          </cell>
          <cell r="F639" t="str">
            <v>NO</v>
          </cell>
          <cell r="G639" t="str">
            <v>NO</v>
          </cell>
          <cell r="H639" t="str">
            <v>NO</v>
          </cell>
          <cell r="I639" t="str">
            <v>NO</v>
          </cell>
          <cell r="J639" t="str">
            <v>YES</v>
          </cell>
          <cell r="K639" t="str">
            <v>NO</v>
          </cell>
          <cell r="L639" t="str">
            <v>NO</v>
          </cell>
          <cell r="M639" t="str">
            <v>YES</v>
          </cell>
          <cell r="N639" t="str">
            <v>NO</v>
          </cell>
        </row>
        <row r="640">
          <cell r="A640">
            <v>6290</v>
          </cell>
          <cell r="B640">
            <v>570</v>
          </cell>
          <cell r="C640">
            <v>7</v>
          </cell>
          <cell r="D640" t="str">
            <v>NO</v>
          </cell>
          <cell r="E640" t="str">
            <v>YES</v>
          </cell>
          <cell r="F640" t="str">
            <v>NO</v>
          </cell>
          <cell r="G640" t="str">
            <v>NO</v>
          </cell>
          <cell r="H640" t="str">
            <v>NO</v>
          </cell>
          <cell r="I640" t="str">
            <v>NO</v>
          </cell>
          <cell r="J640" t="str">
            <v>YES</v>
          </cell>
          <cell r="K640" t="str">
            <v>NO</v>
          </cell>
          <cell r="L640" t="str">
            <v>NO</v>
          </cell>
          <cell r="M640" t="str">
            <v>YES</v>
          </cell>
          <cell r="N640" t="str">
            <v>NO</v>
          </cell>
        </row>
        <row r="641">
          <cell r="A641">
            <v>6300</v>
          </cell>
          <cell r="B641">
            <v>570</v>
          </cell>
          <cell r="C641">
            <v>7</v>
          </cell>
          <cell r="D641" t="str">
            <v>NO</v>
          </cell>
          <cell r="E641" t="str">
            <v>YES</v>
          </cell>
          <cell r="F641" t="str">
            <v>NO</v>
          </cell>
          <cell r="G641" t="str">
            <v>NO</v>
          </cell>
          <cell r="H641" t="str">
            <v>NO</v>
          </cell>
          <cell r="I641" t="str">
            <v>NO</v>
          </cell>
          <cell r="J641" t="str">
            <v>YES</v>
          </cell>
          <cell r="K641" t="str">
            <v>NO</v>
          </cell>
          <cell r="L641" t="str">
            <v>NO</v>
          </cell>
          <cell r="M641" t="str">
            <v>YES</v>
          </cell>
          <cell r="N641" t="str">
            <v>NO</v>
          </cell>
        </row>
        <row r="642">
          <cell r="A642">
            <v>6301</v>
          </cell>
          <cell r="B642">
            <v>570</v>
          </cell>
          <cell r="C642">
            <v>7</v>
          </cell>
          <cell r="D642" t="str">
            <v>NO</v>
          </cell>
          <cell r="E642" t="str">
            <v>YES</v>
          </cell>
          <cell r="F642" t="str">
            <v>NO</v>
          </cell>
          <cell r="G642" t="str">
            <v>NO</v>
          </cell>
          <cell r="H642" t="str">
            <v>NO</v>
          </cell>
          <cell r="I642" t="str">
            <v>NO</v>
          </cell>
          <cell r="J642" t="str">
            <v>YES</v>
          </cell>
          <cell r="K642" t="str">
            <v>NO</v>
          </cell>
          <cell r="L642" t="str">
            <v>NO</v>
          </cell>
          <cell r="M642" t="str">
            <v>YES</v>
          </cell>
          <cell r="N642" t="str">
            <v>NO</v>
          </cell>
        </row>
        <row r="643">
          <cell r="A643">
            <v>6320</v>
          </cell>
          <cell r="B643">
            <v>570</v>
          </cell>
          <cell r="C643">
            <v>7</v>
          </cell>
          <cell r="D643" t="str">
            <v>NO</v>
          </cell>
          <cell r="E643" t="str">
            <v>YES</v>
          </cell>
          <cell r="F643" t="str">
            <v>NO</v>
          </cell>
          <cell r="G643" t="str">
            <v>NO</v>
          </cell>
          <cell r="H643" t="str">
            <v>NO</v>
          </cell>
          <cell r="I643" t="str">
            <v>NO</v>
          </cell>
          <cell r="J643" t="str">
            <v>YES</v>
          </cell>
          <cell r="K643" t="str">
            <v>NO</v>
          </cell>
          <cell r="L643" t="str">
            <v>NO</v>
          </cell>
          <cell r="M643" t="str">
            <v>YES</v>
          </cell>
          <cell r="N643" t="str">
            <v>NO</v>
          </cell>
        </row>
        <row r="644">
          <cell r="A644">
            <v>6324</v>
          </cell>
          <cell r="B644">
            <v>570</v>
          </cell>
          <cell r="C644">
            <v>7</v>
          </cell>
          <cell r="D644" t="str">
            <v>NO</v>
          </cell>
          <cell r="E644" t="str">
            <v>YES</v>
          </cell>
          <cell r="F644" t="str">
            <v>NO</v>
          </cell>
          <cell r="G644" t="str">
            <v>NO</v>
          </cell>
          <cell r="H644" t="str">
            <v>NO</v>
          </cell>
          <cell r="I644" t="str">
            <v>NO</v>
          </cell>
          <cell r="J644" t="str">
            <v>YES</v>
          </cell>
          <cell r="K644" t="str">
            <v>NO</v>
          </cell>
          <cell r="L644" t="str">
            <v>NO</v>
          </cell>
          <cell r="M644" t="str">
            <v>YES</v>
          </cell>
          <cell r="N644" t="str">
            <v>NO</v>
          </cell>
        </row>
        <row r="645">
          <cell r="A645">
            <v>6335</v>
          </cell>
          <cell r="B645">
            <v>570</v>
          </cell>
          <cell r="C645">
            <v>7</v>
          </cell>
          <cell r="D645" t="str">
            <v>NO</v>
          </cell>
          <cell r="E645" t="str">
            <v>YES</v>
          </cell>
          <cell r="F645" t="str">
            <v>NO</v>
          </cell>
          <cell r="G645" t="str">
            <v>NO</v>
          </cell>
          <cell r="H645" t="str">
            <v>NO</v>
          </cell>
          <cell r="I645" t="str">
            <v>NO</v>
          </cell>
          <cell r="J645" t="str">
            <v>YES</v>
          </cell>
          <cell r="K645" t="str">
            <v>NO</v>
          </cell>
          <cell r="L645" t="str">
            <v>NO</v>
          </cell>
          <cell r="M645" t="str">
            <v>YES</v>
          </cell>
          <cell r="N645" t="str">
            <v>NO</v>
          </cell>
        </row>
        <row r="646">
          <cell r="A646">
            <v>6345</v>
          </cell>
          <cell r="B646">
            <v>570</v>
          </cell>
          <cell r="C646">
            <v>7</v>
          </cell>
          <cell r="D646" t="str">
            <v>NO</v>
          </cell>
          <cell r="E646" t="str">
            <v>YES</v>
          </cell>
          <cell r="F646" t="str">
            <v>NO</v>
          </cell>
          <cell r="G646" t="str">
            <v>NO</v>
          </cell>
          <cell r="H646" t="str">
            <v>NO</v>
          </cell>
          <cell r="I646" t="str">
            <v>NO</v>
          </cell>
          <cell r="J646" t="str">
            <v>YES</v>
          </cell>
          <cell r="K646" t="str">
            <v>NO</v>
          </cell>
          <cell r="L646" t="str">
            <v>NO</v>
          </cell>
          <cell r="M646" t="str">
            <v>YES</v>
          </cell>
          <cell r="N646" t="str">
            <v>NO</v>
          </cell>
        </row>
        <row r="647">
          <cell r="A647">
            <v>6350</v>
          </cell>
          <cell r="B647">
            <v>570</v>
          </cell>
          <cell r="C647">
            <v>7</v>
          </cell>
          <cell r="D647" t="str">
            <v>NO</v>
          </cell>
          <cell r="E647" t="str">
            <v>YES</v>
          </cell>
          <cell r="F647" t="str">
            <v>NO</v>
          </cell>
          <cell r="G647" t="str">
            <v>NO</v>
          </cell>
          <cell r="H647" t="str">
            <v>NO</v>
          </cell>
          <cell r="I647" t="str">
            <v>NO</v>
          </cell>
          <cell r="J647" t="str">
            <v>YES</v>
          </cell>
          <cell r="K647" t="str">
            <v>NO</v>
          </cell>
          <cell r="L647" t="str">
            <v>NO</v>
          </cell>
          <cell r="M647" t="str">
            <v>YES</v>
          </cell>
          <cell r="N647" t="str">
            <v>NO</v>
          </cell>
        </row>
        <row r="648">
          <cell r="A648">
            <v>6355</v>
          </cell>
          <cell r="B648">
            <v>570</v>
          </cell>
          <cell r="C648">
            <v>7</v>
          </cell>
          <cell r="D648" t="str">
            <v>NO</v>
          </cell>
          <cell r="E648" t="str">
            <v>YES</v>
          </cell>
          <cell r="F648" t="str">
            <v>NO</v>
          </cell>
          <cell r="G648" t="str">
            <v>NO</v>
          </cell>
          <cell r="H648" t="str">
            <v>NO</v>
          </cell>
          <cell r="I648" t="str">
            <v>NO</v>
          </cell>
          <cell r="J648" t="str">
            <v>YES</v>
          </cell>
          <cell r="K648" t="str">
            <v>NO</v>
          </cell>
          <cell r="L648" t="str">
            <v>NO</v>
          </cell>
          <cell r="M648" t="str">
            <v>YES</v>
          </cell>
          <cell r="N648" t="str">
            <v>NO</v>
          </cell>
        </row>
        <row r="649">
          <cell r="A649">
            <v>6360</v>
          </cell>
          <cell r="B649">
            <v>570</v>
          </cell>
          <cell r="C649">
            <v>7</v>
          </cell>
          <cell r="D649" t="str">
            <v>NO</v>
          </cell>
          <cell r="E649" t="str">
            <v>YES</v>
          </cell>
          <cell r="F649" t="str">
            <v>NO</v>
          </cell>
          <cell r="G649" t="str">
            <v>NO</v>
          </cell>
          <cell r="H649" t="str">
            <v>NO</v>
          </cell>
          <cell r="I649" t="str">
            <v>NO</v>
          </cell>
          <cell r="J649" t="str">
            <v>YES</v>
          </cell>
          <cell r="K649" t="str">
            <v>NO</v>
          </cell>
          <cell r="L649" t="str">
            <v>NO</v>
          </cell>
          <cell r="M649" t="str">
            <v>YES</v>
          </cell>
          <cell r="N649" t="str">
            <v>NO</v>
          </cell>
        </row>
        <row r="650">
          <cell r="A650">
            <v>6370</v>
          </cell>
          <cell r="B650">
            <v>570</v>
          </cell>
          <cell r="C650">
            <v>7</v>
          </cell>
          <cell r="D650" t="str">
            <v>NO</v>
          </cell>
          <cell r="E650" t="str">
            <v>YES</v>
          </cell>
          <cell r="F650" t="str">
            <v>NO</v>
          </cell>
          <cell r="G650" t="str">
            <v>NO</v>
          </cell>
          <cell r="H650" t="str">
            <v>NO</v>
          </cell>
          <cell r="I650" t="str">
            <v>NO</v>
          </cell>
          <cell r="J650" t="str">
            <v>YES</v>
          </cell>
          <cell r="K650" t="str">
            <v>NO</v>
          </cell>
          <cell r="L650" t="str">
            <v>NO</v>
          </cell>
          <cell r="M650" t="str">
            <v>YES</v>
          </cell>
          <cell r="N650" t="str">
            <v>NO</v>
          </cell>
        </row>
        <row r="651">
          <cell r="A651">
            <v>6400</v>
          </cell>
          <cell r="B651">
            <v>570</v>
          </cell>
          <cell r="C651">
            <v>7</v>
          </cell>
          <cell r="D651" t="str">
            <v>NO</v>
          </cell>
          <cell r="E651" t="str">
            <v>YES</v>
          </cell>
          <cell r="F651" t="str">
            <v>NO</v>
          </cell>
          <cell r="G651" t="str">
            <v>NO</v>
          </cell>
          <cell r="H651" t="str">
            <v>NO</v>
          </cell>
          <cell r="I651" t="str">
            <v>NO</v>
          </cell>
          <cell r="J651" t="str">
            <v>YES</v>
          </cell>
          <cell r="K651" t="str">
            <v>NO</v>
          </cell>
          <cell r="L651" t="str">
            <v>NO</v>
          </cell>
          <cell r="M651" t="str">
            <v>YES</v>
          </cell>
          <cell r="N651" t="str">
            <v>NO</v>
          </cell>
        </row>
        <row r="652">
          <cell r="A652">
            <v>6415</v>
          </cell>
          <cell r="B652">
            <v>570</v>
          </cell>
          <cell r="C652">
            <v>7</v>
          </cell>
          <cell r="D652" t="str">
            <v>NO</v>
          </cell>
          <cell r="E652" t="str">
            <v>YES</v>
          </cell>
          <cell r="F652" t="str">
            <v>NO</v>
          </cell>
          <cell r="G652" t="str">
            <v>NO</v>
          </cell>
          <cell r="H652" t="str">
            <v>NO</v>
          </cell>
          <cell r="I652" t="str">
            <v>NO</v>
          </cell>
          <cell r="J652" t="str">
            <v>YES</v>
          </cell>
          <cell r="K652" t="str">
            <v>NO</v>
          </cell>
          <cell r="L652" t="str">
            <v>NO</v>
          </cell>
          <cell r="M652" t="str">
            <v>YES</v>
          </cell>
          <cell r="N652" t="str">
            <v>NO</v>
          </cell>
        </row>
        <row r="653">
          <cell r="A653">
            <v>6420</v>
          </cell>
          <cell r="B653">
            <v>570</v>
          </cell>
          <cell r="C653">
            <v>7</v>
          </cell>
          <cell r="D653" t="str">
            <v>NO</v>
          </cell>
          <cell r="E653" t="str">
            <v>YES</v>
          </cell>
          <cell r="F653" t="str">
            <v>NO</v>
          </cell>
          <cell r="G653" t="str">
            <v>NO</v>
          </cell>
          <cell r="H653" t="str">
            <v>NO</v>
          </cell>
          <cell r="I653" t="str">
            <v>NO</v>
          </cell>
          <cell r="J653" t="str">
            <v>YES</v>
          </cell>
          <cell r="K653" t="str">
            <v>NO</v>
          </cell>
          <cell r="L653" t="str">
            <v>NO</v>
          </cell>
          <cell r="M653" t="str">
            <v>YES</v>
          </cell>
          <cell r="N653" t="str">
            <v>NO</v>
          </cell>
        </row>
        <row r="654">
          <cell r="A654">
            <v>6430</v>
          </cell>
          <cell r="B654">
            <v>570</v>
          </cell>
          <cell r="C654">
            <v>7</v>
          </cell>
          <cell r="D654" t="str">
            <v>NO</v>
          </cell>
          <cell r="E654" t="str">
            <v>YES</v>
          </cell>
          <cell r="F654" t="str">
            <v>NO</v>
          </cell>
          <cell r="G654" t="str">
            <v>NO</v>
          </cell>
          <cell r="H654" t="str">
            <v>NO</v>
          </cell>
          <cell r="I654" t="str">
            <v>NO</v>
          </cell>
          <cell r="J654" t="str">
            <v>YES</v>
          </cell>
          <cell r="K654" t="str">
            <v>NO</v>
          </cell>
          <cell r="L654" t="str">
            <v>NO</v>
          </cell>
          <cell r="M654" t="str">
            <v>YES</v>
          </cell>
          <cell r="N654" t="str">
            <v>NO</v>
          </cell>
        </row>
        <row r="655">
          <cell r="A655">
            <v>6440</v>
          </cell>
          <cell r="B655">
            <v>570</v>
          </cell>
          <cell r="C655">
            <v>7</v>
          </cell>
          <cell r="D655" t="str">
            <v>NO</v>
          </cell>
          <cell r="E655" t="str">
            <v>YES</v>
          </cell>
          <cell r="F655" t="str">
            <v>NO</v>
          </cell>
          <cell r="G655" t="str">
            <v>NO</v>
          </cell>
          <cell r="H655" t="str">
            <v>NO</v>
          </cell>
          <cell r="I655" t="str">
            <v>NO</v>
          </cell>
          <cell r="J655" t="str">
            <v>YES</v>
          </cell>
          <cell r="K655" t="str">
            <v>NO</v>
          </cell>
          <cell r="L655" t="str">
            <v>NO</v>
          </cell>
          <cell r="M655" t="str">
            <v>YES</v>
          </cell>
          <cell r="N655" t="str">
            <v>NO</v>
          </cell>
        </row>
        <row r="656">
          <cell r="A656">
            <v>7000</v>
          </cell>
          <cell r="B656">
            <v>570</v>
          </cell>
          <cell r="C656">
            <v>7</v>
          </cell>
          <cell r="D656" t="str">
            <v>NO</v>
          </cell>
          <cell r="E656" t="str">
            <v>YES</v>
          </cell>
          <cell r="F656" t="str">
            <v>NO</v>
          </cell>
          <cell r="G656" t="str">
            <v>NO</v>
          </cell>
          <cell r="H656" t="str">
            <v>NO</v>
          </cell>
          <cell r="I656" t="str">
            <v>NO</v>
          </cell>
          <cell r="J656" t="str">
            <v>YES</v>
          </cell>
          <cell r="K656" t="str">
            <v>NO</v>
          </cell>
          <cell r="L656" t="str">
            <v>NO</v>
          </cell>
          <cell r="M656" t="str">
            <v>YES</v>
          </cell>
          <cell r="N656" t="str">
            <v>NO</v>
          </cell>
        </row>
        <row r="657">
          <cell r="A657">
            <v>7002</v>
          </cell>
          <cell r="B657">
            <v>570</v>
          </cell>
          <cell r="C657">
            <v>7</v>
          </cell>
          <cell r="D657" t="str">
            <v>NO</v>
          </cell>
          <cell r="E657" t="str">
            <v>YES</v>
          </cell>
          <cell r="F657" t="str">
            <v>NO</v>
          </cell>
          <cell r="G657" t="str">
            <v>NO</v>
          </cell>
          <cell r="H657" t="str">
            <v>NO</v>
          </cell>
          <cell r="I657" t="str">
            <v>NO</v>
          </cell>
          <cell r="J657" t="str">
            <v>YES</v>
          </cell>
          <cell r="K657" t="str">
            <v>NO</v>
          </cell>
          <cell r="L657" t="str">
            <v>NO</v>
          </cell>
          <cell r="M657" t="str">
            <v>YES</v>
          </cell>
          <cell r="N657" t="str">
            <v>NO</v>
          </cell>
        </row>
        <row r="658">
          <cell r="A658">
            <v>7004</v>
          </cell>
          <cell r="B658">
            <v>570</v>
          </cell>
          <cell r="C658">
            <v>7</v>
          </cell>
          <cell r="D658" t="str">
            <v>NO</v>
          </cell>
          <cell r="E658" t="str">
            <v>YES</v>
          </cell>
          <cell r="F658" t="str">
            <v>NO</v>
          </cell>
          <cell r="G658" t="str">
            <v>NO</v>
          </cell>
          <cell r="H658" t="str">
            <v>NO</v>
          </cell>
          <cell r="I658" t="str">
            <v>NO</v>
          </cell>
          <cell r="J658" t="str">
            <v>YES</v>
          </cell>
          <cell r="K658" t="str">
            <v>NO</v>
          </cell>
          <cell r="L658" t="str">
            <v>NO</v>
          </cell>
          <cell r="M658" t="str">
            <v>YES</v>
          </cell>
          <cell r="N658" t="str">
            <v>NO</v>
          </cell>
        </row>
        <row r="659">
          <cell r="A659">
            <v>7005</v>
          </cell>
          <cell r="B659">
            <v>570</v>
          </cell>
          <cell r="C659">
            <v>7</v>
          </cell>
          <cell r="D659" t="str">
            <v>NO</v>
          </cell>
          <cell r="E659" t="str">
            <v>YES</v>
          </cell>
          <cell r="F659" t="str">
            <v>NO</v>
          </cell>
          <cell r="G659" t="str">
            <v>NO</v>
          </cell>
          <cell r="H659" t="str">
            <v>NO</v>
          </cell>
          <cell r="I659" t="str">
            <v>NO</v>
          </cell>
          <cell r="J659" t="str">
            <v>YES</v>
          </cell>
          <cell r="K659" t="str">
            <v>NO</v>
          </cell>
          <cell r="L659" t="str">
            <v>NO</v>
          </cell>
          <cell r="M659" t="str">
            <v>YES</v>
          </cell>
          <cell r="N659" t="str">
            <v>NO</v>
          </cell>
        </row>
        <row r="660">
          <cell r="A660">
            <v>7009</v>
          </cell>
          <cell r="B660">
            <v>570</v>
          </cell>
          <cell r="C660">
            <v>7</v>
          </cell>
          <cell r="D660" t="str">
            <v>NO</v>
          </cell>
          <cell r="E660" t="str">
            <v>YES</v>
          </cell>
          <cell r="F660" t="str">
            <v>NO</v>
          </cell>
          <cell r="G660" t="str">
            <v>NO</v>
          </cell>
          <cell r="H660" t="str">
            <v>NO</v>
          </cell>
          <cell r="I660" t="str">
            <v>NO</v>
          </cell>
          <cell r="J660" t="str">
            <v>YES</v>
          </cell>
          <cell r="K660" t="str">
            <v>NO</v>
          </cell>
          <cell r="L660" t="str">
            <v>NO</v>
          </cell>
          <cell r="M660" t="str">
            <v>YES</v>
          </cell>
          <cell r="N660" t="str">
            <v>NO</v>
          </cell>
        </row>
        <row r="661">
          <cell r="A661">
            <v>7035</v>
          </cell>
          <cell r="B661">
            <v>570</v>
          </cell>
          <cell r="C661">
            <v>7</v>
          </cell>
          <cell r="D661" t="str">
            <v>NO</v>
          </cell>
          <cell r="E661" t="str">
            <v>YES</v>
          </cell>
          <cell r="F661" t="str">
            <v>NO</v>
          </cell>
          <cell r="G661" t="str">
            <v>NO</v>
          </cell>
          <cell r="H661" t="str">
            <v>NO</v>
          </cell>
          <cell r="I661" t="str">
            <v>NO</v>
          </cell>
          <cell r="J661" t="str">
            <v>YES</v>
          </cell>
          <cell r="K661" t="str">
            <v>NO</v>
          </cell>
          <cell r="L661" t="str">
            <v>NO</v>
          </cell>
          <cell r="M661" t="str">
            <v>YES</v>
          </cell>
          <cell r="N661" t="str">
            <v>NO</v>
          </cell>
        </row>
        <row r="662">
          <cell r="A662">
            <v>7040</v>
          </cell>
          <cell r="B662">
            <v>570</v>
          </cell>
          <cell r="C662">
            <v>7</v>
          </cell>
          <cell r="D662" t="str">
            <v>NO</v>
          </cell>
          <cell r="E662" t="str">
            <v>YES</v>
          </cell>
          <cell r="F662" t="str">
            <v>NO</v>
          </cell>
          <cell r="G662" t="str">
            <v>NO</v>
          </cell>
          <cell r="H662" t="str">
            <v>NO</v>
          </cell>
          <cell r="I662" t="str">
            <v>NO</v>
          </cell>
          <cell r="J662" t="str">
            <v>YES</v>
          </cell>
          <cell r="K662" t="str">
            <v>NO</v>
          </cell>
          <cell r="L662" t="str">
            <v>NO</v>
          </cell>
          <cell r="M662" t="str">
            <v>YES</v>
          </cell>
          <cell r="N662" t="str">
            <v>NO</v>
          </cell>
        </row>
        <row r="663">
          <cell r="A663">
            <v>7045</v>
          </cell>
          <cell r="B663">
            <v>570</v>
          </cell>
          <cell r="C663">
            <v>7</v>
          </cell>
          <cell r="D663" t="str">
            <v>NO</v>
          </cell>
          <cell r="E663" t="str">
            <v>YES</v>
          </cell>
          <cell r="F663" t="str">
            <v>NO</v>
          </cell>
          <cell r="G663" t="str">
            <v>NO</v>
          </cell>
          <cell r="H663" t="str">
            <v>NO</v>
          </cell>
          <cell r="I663" t="str">
            <v>NO</v>
          </cell>
          <cell r="J663" t="str">
            <v>YES</v>
          </cell>
          <cell r="K663" t="str">
            <v>NO</v>
          </cell>
          <cell r="L663" t="str">
            <v>NO</v>
          </cell>
          <cell r="M663" t="str">
            <v>YES</v>
          </cell>
          <cell r="N663" t="str">
            <v>NO</v>
          </cell>
        </row>
        <row r="664">
          <cell r="A664">
            <v>7050</v>
          </cell>
          <cell r="B664">
            <v>570</v>
          </cell>
          <cell r="C664">
            <v>7</v>
          </cell>
          <cell r="D664" t="str">
            <v>NO</v>
          </cell>
          <cell r="E664" t="str">
            <v>YES</v>
          </cell>
          <cell r="F664" t="str">
            <v>NO</v>
          </cell>
          <cell r="G664" t="str">
            <v>NO</v>
          </cell>
          <cell r="H664" t="str">
            <v>NO</v>
          </cell>
          <cell r="I664" t="str">
            <v>NO</v>
          </cell>
          <cell r="J664" t="str">
            <v>YES</v>
          </cell>
          <cell r="K664" t="str">
            <v>NO</v>
          </cell>
          <cell r="L664" t="str">
            <v>NO</v>
          </cell>
          <cell r="M664" t="str">
            <v>YES</v>
          </cell>
          <cell r="N664" t="str">
            <v>NO</v>
          </cell>
        </row>
        <row r="665">
          <cell r="A665">
            <v>7065</v>
          </cell>
          <cell r="B665">
            <v>570</v>
          </cell>
          <cell r="C665">
            <v>7</v>
          </cell>
          <cell r="D665" t="str">
            <v>NO</v>
          </cell>
          <cell r="E665" t="str">
            <v>YES</v>
          </cell>
          <cell r="F665" t="str">
            <v>NO</v>
          </cell>
          <cell r="G665" t="str">
            <v>NO</v>
          </cell>
          <cell r="H665" t="str">
            <v>NO</v>
          </cell>
          <cell r="I665" t="str">
            <v>NO</v>
          </cell>
          <cell r="J665" t="str">
            <v>YES</v>
          </cell>
          <cell r="K665" t="str">
            <v>NO</v>
          </cell>
          <cell r="L665" t="str">
            <v>NO</v>
          </cell>
          <cell r="M665" t="str">
            <v>YES</v>
          </cell>
          <cell r="N665" t="str">
            <v>NO</v>
          </cell>
        </row>
        <row r="666">
          <cell r="A666">
            <v>7075</v>
          </cell>
          <cell r="B666">
            <v>570</v>
          </cell>
          <cell r="C666">
            <v>7</v>
          </cell>
          <cell r="D666" t="str">
            <v>NO</v>
          </cell>
          <cell r="E666" t="str">
            <v>YES</v>
          </cell>
          <cell r="F666" t="str">
            <v>NO</v>
          </cell>
          <cell r="G666" t="str">
            <v>NO</v>
          </cell>
          <cell r="H666" t="str">
            <v>NO</v>
          </cell>
          <cell r="I666" t="str">
            <v>NO</v>
          </cell>
          <cell r="J666" t="str">
            <v>YES</v>
          </cell>
          <cell r="K666" t="str">
            <v>NO</v>
          </cell>
          <cell r="L666" t="str">
            <v>NO</v>
          </cell>
          <cell r="M666" t="str">
            <v>YES</v>
          </cell>
          <cell r="N666" t="str">
            <v>NO</v>
          </cell>
        </row>
        <row r="667">
          <cell r="A667">
            <v>7080</v>
          </cell>
          <cell r="B667">
            <v>570</v>
          </cell>
          <cell r="C667">
            <v>7</v>
          </cell>
          <cell r="D667" t="str">
            <v>NO</v>
          </cell>
          <cell r="E667" t="str">
            <v>YES</v>
          </cell>
          <cell r="F667" t="str">
            <v>NO</v>
          </cell>
          <cell r="G667" t="str">
            <v>NO</v>
          </cell>
          <cell r="H667" t="str">
            <v>NO</v>
          </cell>
          <cell r="I667" t="str">
            <v>NO</v>
          </cell>
          <cell r="J667" t="str">
            <v>YES</v>
          </cell>
          <cell r="K667" t="str">
            <v>NO</v>
          </cell>
          <cell r="L667" t="str">
            <v>NO</v>
          </cell>
          <cell r="M667" t="str">
            <v>YES</v>
          </cell>
          <cell r="N667" t="str">
            <v>NO</v>
          </cell>
        </row>
        <row r="668">
          <cell r="A668">
            <v>7090</v>
          </cell>
          <cell r="B668">
            <v>570</v>
          </cell>
          <cell r="C668">
            <v>7</v>
          </cell>
          <cell r="D668" t="str">
            <v>NO</v>
          </cell>
          <cell r="E668" t="str">
            <v>YES</v>
          </cell>
          <cell r="F668" t="str">
            <v>NO</v>
          </cell>
          <cell r="G668" t="str">
            <v>NO</v>
          </cell>
          <cell r="H668" t="str">
            <v>NO</v>
          </cell>
          <cell r="I668" t="str">
            <v>NO</v>
          </cell>
          <cell r="J668" t="str">
            <v>YES</v>
          </cell>
          <cell r="K668" t="str">
            <v>NO</v>
          </cell>
          <cell r="L668" t="str">
            <v>NO</v>
          </cell>
          <cell r="M668" t="str">
            <v>YES</v>
          </cell>
          <cell r="N668" t="str">
            <v>NO</v>
          </cell>
        </row>
        <row r="669">
          <cell r="A669">
            <v>7095</v>
          </cell>
          <cell r="B669">
            <v>570</v>
          </cell>
          <cell r="C669">
            <v>7</v>
          </cell>
          <cell r="D669" t="str">
            <v>NO</v>
          </cell>
          <cell r="E669" t="str">
            <v>YES</v>
          </cell>
          <cell r="F669" t="str">
            <v>NO</v>
          </cell>
          <cell r="G669" t="str">
            <v>NO</v>
          </cell>
          <cell r="H669" t="str">
            <v>NO</v>
          </cell>
          <cell r="I669" t="str">
            <v>NO</v>
          </cell>
          <cell r="J669" t="str">
            <v>YES</v>
          </cell>
          <cell r="K669" t="str">
            <v>NO</v>
          </cell>
          <cell r="L669" t="str">
            <v>NO</v>
          </cell>
          <cell r="M669" t="str">
            <v>YES</v>
          </cell>
          <cell r="N669" t="str">
            <v>NO</v>
          </cell>
        </row>
        <row r="670">
          <cell r="A670">
            <v>7100</v>
          </cell>
          <cell r="B670">
            <v>570</v>
          </cell>
          <cell r="C670">
            <v>7</v>
          </cell>
          <cell r="D670" t="str">
            <v>NO</v>
          </cell>
          <cell r="E670" t="str">
            <v>YES</v>
          </cell>
          <cell r="F670" t="str">
            <v>NO</v>
          </cell>
          <cell r="G670" t="str">
            <v>NO</v>
          </cell>
          <cell r="H670" t="str">
            <v>NO</v>
          </cell>
          <cell r="I670" t="str">
            <v>NO</v>
          </cell>
          <cell r="J670" t="str">
            <v>YES</v>
          </cell>
          <cell r="K670" t="str">
            <v>NO</v>
          </cell>
          <cell r="L670" t="str">
            <v>NO</v>
          </cell>
          <cell r="M670" t="str">
            <v>YES</v>
          </cell>
          <cell r="N670" t="str">
            <v>NO</v>
          </cell>
        </row>
        <row r="671">
          <cell r="A671">
            <v>7150</v>
          </cell>
          <cell r="B671">
            <v>570</v>
          </cell>
          <cell r="C671">
            <v>7</v>
          </cell>
          <cell r="D671" t="str">
            <v>NO</v>
          </cell>
          <cell r="E671" t="str">
            <v>YES</v>
          </cell>
          <cell r="F671" t="str">
            <v>NO</v>
          </cell>
          <cell r="G671" t="str">
            <v>NO</v>
          </cell>
          <cell r="H671" t="str">
            <v>NO</v>
          </cell>
          <cell r="I671" t="str">
            <v>NO</v>
          </cell>
          <cell r="J671" t="str">
            <v>YES</v>
          </cell>
          <cell r="K671" t="str">
            <v>NO</v>
          </cell>
          <cell r="L671" t="str">
            <v>NO</v>
          </cell>
          <cell r="M671" t="str">
            <v>YES</v>
          </cell>
          <cell r="N671" t="str">
            <v>NO</v>
          </cell>
        </row>
        <row r="672">
          <cell r="A672">
            <v>7160</v>
          </cell>
          <cell r="B672">
            <v>570</v>
          </cell>
          <cell r="C672">
            <v>7</v>
          </cell>
          <cell r="D672" t="str">
            <v>NO</v>
          </cell>
          <cell r="E672" t="str">
            <v>YES</v>
          </cell>
          <cell r="F672" t="str">
            <v>NO</v>
          </cell>
          <cell r="G672" t="str">
            <v>NO</v>
          </cell>
          <cell r="H672" t="str">
            <v>NO</v>
          </cell>
          <cell r="I672" t="str">
            <v>NO</v>
          </cell>
          <cell r="J672" t="str">
            <v>YES</v>
          </cell>
          <cell r="K672" t="str">
            <v>NO</v>
          </cell>
          <cell r="L672" t="str">
            <v>NO</v>
          </cell>
          <cell r="M672" t="str">
            <v>YES</v>
          </cell>
          <cell r="N672" t="str">
            <v>NO</v>
          </cell>
        </row>
        <row r="673">
          <cell r="A673">
            <v>7170</v>
          </cell>
          <cell r="B673">
            <v>570</v>
          </cell>
          <cell r="C673">
            <v>7</v>
          </cell>
          <cell r="D673" t="str">
            <v>NO</v>
          </cell>
          <cell r="E673" t="str">
            <v>YES</v>
          </cell>
          <cell r="F673" t="str">
            <v>NO</v>
          </cell>
          <cell r="G673" t="str">
            <v>NO</v>
          </cell>
          <cell r="H673" t="str">
            <v>NO</v>
          </cell>
          <cell r="I673" t="str">
            <v>NO</v>
          </cell>
          <cell r="J673" t="str">
            <v>YES</v>
          </cell>
          <cell r="K673" t="str">
            <v>NO</v>
          </cell>
          <cell r="L673" t="str">
            <v>NO</v>
          </cell>
          <cell r="M673" t="str">
            <v>YES</v>
          </cell>
          <cell r="N673" t="str">
            <v>NO</v>
          </cell>
        </row>
        <row r="674">
          <cell r="A674">
            <v>7200</v>
          </cell>
          <cell r="B674">
            <v>570</v>
          </cell>
          <cell r="C674">
            <v>7</v>
          </cell>
          <cell r="D674" t="str">
            <v>NO</v>
          </cell>
          <cell r="E674" t="str">
            <v>YES</v>
          </cell>
          <cell r="F674" t="str">
            <v>NO</v>
          </cell>
          <cell r="G674" t="str">
            <v>NO</v>
          </cell>
          <cell r="H674" t="str">
            <v>NO</v>
          </cell>
          <cell r="I674" t="str">
            <v>NO</v>
          </cell>
          <cell r="J674" t="str">
            <v>YES</v>
          </cell>
          <cell r="K674" t="str">
            <v>NO</v>
          </cell>
          <cell r="L674" t="str">
            <v>NO</v>
          </cell>
          <cell r="M674" t="str">
            <v>YES</v>
          </cell>
          <cell r="N674" t="str">
            <v>NO</v>
          </cell>
        </row>
        <row r="675">
          <cell r="A675">
            <v>7220</v>
          </cell>
          <cell r="B675">
            <v>570</v>
          </cell>
          <cell r="C675">
            <v>7</v>
          </cell>
          <cell r="D675" t="str">
            <v>NO</v>
          </cell>
          <cell r="E675" t="str">
            <v>YES</v>
          </cell>
          <cell r="F675" t="str">
            <v>NO</v>
          </cell>
          <cell r="G675" t="str">
            <v>NO</v>
          </cell>
          <cell r="H675" t="str">
            <v>NO</v>
          </cell>
          <cell r="I675" t="str">
            <v>NO</v>
          </cell>
          <cell r="J675" t="str">
            <v>YES</v>
          </cell>
          <cell r="K675" t="str">
            <v>NO</v>
          </cell>
          <cell r="L675" t="str">
            <v>NO</v>
          </cell>
          <cell r="M675" t="str">
            <v>YES</v>
          </cell>
          <cell r="N675" t="str">
            <v>NO</v>
          </cell>
        </row>
        <row r="676">
          <cell r="A676">
            <v>7230</v>
          </cell>
          <cell r="B676">
            <v>570</v>
          </cell>
          <cell r="C676">
            <v>7</v>
          </cell>
          <cell r="D676" t="str">
            <v>NO</v>
          </cell>
          <cell r="E676" t="str">
            <v>YES</v>
          </cell>
          <cell r="F676" t="str">
            <v>NO</v>
          </cell>
          <cell r="G676" t="str">
            <v>NO</v>
          </cell>
          <cell r="H676" t="str">
            <v>NO</v>
          </cell>
          <cell r="I676" t="str">
            <v>NO</v>
          </cell>
          <cell r="J676" t="str">
            <v>YES</v>
          </cell>
          <cell r="K676" t="str">
            <v>NO</v>
          </cell>
          <cell r="L676" t="str">
            <v>NO</v>
          </cell>
          <cell r="M676" t="str">
            <v>YES</v>
          </cell>
          <cell r="N676" t="str">
            <v>NO</v>
          </cell>
        </row>
        <row r="677">
          <cell r="A677">
            <v>7240</v>
          </cell>
          <cell r="B677">
            <v>570</v>
          </cell>
          <cell r="C677">
            <v>7</v>
          </cell>
          <cell r="D677" t="str">
            <v>NO</v>
          </cell>
          <cell r="E677" t="str">
            <v>YES</v>
          </cell>
          <cell r="F677" t="str">
            <v>NO</v>
          </cell>
          <cell r="G677" t="str">
            <v>NO</v>
          </cell>
          <cell r="H677" t="str">
            <v>NO</v>
          </cell>
          <cell r="I677" t="str">
            <v>NO</v>
          </cell>
          <cell r="J677" t="str">
            <v>YES</v>
          </cell>
          <cell r="K677" t="str">
            <v>NO</v>
          </cell>
          <cell r="L677" t="str">
            <v>NO</v>
          </cell>
          <cell r="M677" t="str">
            <v>YES</v>
          </cell>
          <cell r="N677" t="str">
            <v>NO</v>
          </cell>
        </row>
        <row r="678">
          <cell r="A678">
            <v>7250</v>
          </cell>
          <cell r="B678">
            <v>570</v>
          </cell>
          <cell r="C678">
            <v>7</v>
          </cell>
          <cell r="D678" t="str">
            <v>NO</v>
          </cell>
          <cell r="E678" t="str">
            <v>YES</v>
          </cell>
          <cell r="F678" t="str">
            <v>NO</v>
          </cell>
          <cell r="G678" t="str">
            <v>NO</v>
          </cell>
          <cell r="H678" t="str">
            <v>NO</v>
          </cell>
          <cell r="I678" t="str">
            <v>NO</v>
          </cell>
          <cell r="J678" t="str">
            <v>YES</v>
          </cell>
          <cell r="K678" t="str">
            <v>NO</v>
          </cell>
          <cell r="L678" t="str">
            <v>NO</v>
          </cell>
          <cell r="M678" t="str">
            <v>YES</v>
          </cell>
          <cell r="N678" t="str">
            <v>NO</v>
          </cell>
        </row>
        <row r="679">
          <cell r="A679">
            <v>7300</v>
          </cell>
          <cell r="B679">
            <v>570</v>
          </cell>
          <cell r="C679">
            <v>7</v>
          </cell>
          <cell r="D679" t="str">
            <v>NO</v>
          </cell>
          <cell r="E679" t="str">
            <v>YES</v>
          </cell>
          <cell r="F679" t="str">
            <v>NO</v>
          </cell>
          <cell r="G679" t="str">
            <v>NO</v>
          </cell>
          <cell r="H679" t="str">
            <v>NO</v>
          </cell>
          <cell r="I679" t="str">
            <v>NO</v>
          </cell>
          <cell r="J679" t="str">
            <v>YES</v>
          </cell>
          <cell r="K679" t="str">
            <v>NO</v>
          </cell>
          <cell r="L679" t="str">
            <v>NO</v>
          </cell>
          <cell r="M679" t="str">
            <v>YES</v>
          </cell>
          <cell r="N679" t="str">
            <v>NO</v>
          </cell>
        </row>
        <row r="680">
          <cell r="A680">
            <v>7301</v>
          </cell>
          <cell r="B680">
            <v>570</v>
          </cell>
          <cell r="C680">
            <v>7</v>
          </cell>
          <cell r="D680" t="str">
            <v>NO</v>
          </cell>
          <cell r="E680" t="str">
            <v>YES</v>
          </cell>
          <cell r="F680" t="str">
            <v>NO</v>
          </cell>
          <cell r="G680" t="str">
            <v>NO</v>
          </cell>
          <cell r="H680" t="str">
            <v>NO</v>
          </cell>
          <cell r="I680" t="str">
            <v>NO</v>
          </cell>
          <cell r="J680" t="str">
            <v>YES</v>
          </cell>
          <cell r="K680" t="str">
            <v>NO</v>
          </cell>
          <cell r="L680" t="str">
            <v>NO</v>
          </cell>
          <cell r="M680" t="str">
            <v>YES</v>
          </cell>
          <cell r="N680" t="str">
            <v>NO</v>
          </cell>
        </row>
        <row r="681">
          <cell r="A681">
            <v>7320</v>
          </cell>
          <cell r="B681">
            <v>570</v>
          </cell>
          <cell r="C681">
            <v>7</v>
          </cell>
          <cell r="D681" t="str">
            <v>NO</v>
          </cell>
          <cell r="E681" t="str">
            <v>YES</v>
          </cell>
          <cell r="F681" t="str">
            <v>NO</v>
          </cell>
          <cell r="G681" t="str">
            <v>NO</v>
          </cell>
          <cell r="H681" t="str">
            <v>NO</v>
          </cell>
          <cell r="I681" t="str">
            <v>NO</v>
          </cell>
          <cell r="J681" t="str">
            <v>YES</v>
          </cell>
          <cell r="K681" t="str">
            <v>NO</v>
          </cell>
          <cell r="L681" t="str">
            <v>NO</v>
          </cell>
          <cell r="M681" t="str">
            <v>YES</v>
          </cell>
          <cell r="N681" t="str">
            <v>NO</v>
          </cell>
        </row>
        <row r="682">
          <cell r="A682">
            <v>7330</v>
          </cell>
          <cell r="B682">
            <v>570</v>
          </cell>
          <cell r="C682">
            <v>7</v>
          </cell>
          <cell r="D682" t="str">
            <v>NO</v>
          </cell>
          <cell r="E682" t="str">
            <v>YES</v>
          </cell>
          <cell r="F682" t="str">
            <v>NO</v>
          </cell>
          <cell r="G682" t="str">
            <v>NO</v>
          </cell>
          <cell r="H682" t="str">
            <v>NO</v>
          </cell>
          <cell r="I682" t="str">
            <v>NO</v>
          </cell>
          <cell r="J682" t="str">
            <v>YES</v>
          </cell>
          <cell r="K682" t="str">
            <v>NO</v>
          </cell>
          <cell r="L682" t="str">
            <v>NO</v>
          </cell>
          <cell r="M682" t="str">
            <v>YES</v>
          </cell>
          <cell r="N682" t="str">
            <v>NO</v>
          </cell>
        </row>
        <row r="683">
          <cell r="A683">
            <v>7340</v>
          </cell>
          <cell r="B683">
            <v>570</v>
          </cell>
          <cell r="C683">
            <v>7</v>
          </cell>
          <cell r="D683" t="str">
            <v>NO</v>
          </cell>
          <cell r="E683" t="str">
            <v>YES</v>
          </cell>
          <cell r="F683" t="str">
            <v>NO</v>
          </cell>
          <cell r="G683" t="str">
            <v>NO</v>
          </cell>
          <cell r="H683" t="str">
            <v>NO</v>
          </cell>
          <cell r="I683" t="str">
            <v>NO</v>
          </cell>
          <cell r="J683" t="str">
            <v>YES</v>
          </cell>
          <cell r="K683" t="str">
            <v>NO</v>
          </cell>
          <cell r="L683" t="str">
            <v>NO</v>
          </cell>
          <cell r="M683" t="str">
            <v>YES</v>
          </cell>
          <cell r="N683" t="str">
            <v>NO</v>
          </cell>
        </row>
        <row r="684">
          <cell r="A684">
            <v>7350</v>
          </cell>
          <cell r="B684">
            <v>570</v>
          </cell>
          <cell r="C684">
            <v>7</v>
          </cell>
          <cell r="D684" t="str">
            <v>NO</v>
          </cell>
          <cell r="E684" t="str">
            <v>YES</v>
          </cell>
          <cell r="F684" t="str">
            <v>NO</v>
          </cell>
          <cell r="G684" t="str">
            <v>NO</v>
          </cell>
          <cell r="H684" t="str">
            <v>NO</v>
          </cell>
          <cell r="I684" t="str">
            <v>NO</v>
          </cell>
          <cell r="J684" t="str">
            <v>YES</v>
          </cell>
          <cell r="K684" t="str">
            <v>NO</v>
          </cell>
          <cell r="L684" t="str">
            <v>NO</v>
          </cell>
          <cell r="M684" t="str">
            <v>YES</v>
          </cell>
          <cell r="N684" t="str">
            <v>NO</v>
          </cell>
        </row>
        <row r="685">
          <cell r="A685">
            <v>7354</v>
          </cell>
          <cell r="B685">
            <v>570</v>
          </cell>
          <cell r="C685">
            <v>7</v>
          </cell>
          <cell r="D685" t="str">
            <v>NO</v>
          </cell>
          <cell r="E685" t="str">
            <v>YES</v>
          </cell>
          <cell r="F685" t="str">
            <v>NO</v>
          </cell>
          <cell r="G685" t="str">
            <v>NO</v>
          </cell>
          <cell r="H685" t="str">
            <v>NO</v>
          </cell>
          <cell r="I685" t="str">
            <v>NO</v>
          </cell>
          <cell r="J685" t="str">
            <v>YES</v>
          </cell>
          <cell r="K685" t="str">
            <v>NO</v>
          </cell>
          <cell r="L685" t="str">
            <v>NO</v>
          </cell>
          <cell r="M685" t="str">
            <v>YES</v>
          </cell>
          <cell r="N685" t="str">
            <v>NO</v>
          </cell>
        </row>
        <row r="686">
          <cell r="A686">
            <v>7370</v>
          </cell>
          <cell r="B686">
            <v>570</v>
          </cell>
          <cell r="C686">
            <v>7</v>
          </cell>
          <cell r="D686" t="str">
            <v>NO</v>
          </cell>
          <cell r="E686" t="str">
            <v>YES</v>
          </cell>
          <cell r="F686" t="str">
            <v>NO</v>
          </cell>
          <cell r="G686" t="str">
            <v>NO</v>
          </cell>
          <cell r="H686" t="str">
            <v>NO</v>
          </cell>
          <cell r="I686" t="str">
            <v>NO</v>
          </cell>
          <cell r="J686" t="str">
            <v>YES</v>
          </cell>
          <cell r="K686" t="str">
            <v>NO</v>
          </cell>
          <cell r="L686" t="str">
            <v>NO</v>
          </cell>
          <cell r="M686" t="str">
            <v>YES</v>
          </cell>
          <cell r="N686" t="str">
            <v>NO</v>
          </cell>
        </row>
        <row r="687">
          <cell r="A687">
            <v>7374</v>
          </cell>
          <cell r="B687">
            <v>570</v>
          </cell>
          <cell r="C687">
            <v>7</v>
          </cell>
          <cell r="D687" t="str">
            <v>NO</v>
          </cell>
          <cell r="E687" t="str">
            <v>YES</v>
          </cell>
          <cell r="F687" t="str">
            <v>NO</v>
          </cell>
          <cell r="G687" t="str">
            <v>NO</v>
          </cell>
          <cell r="H687" t="str">
            <v>NO</v>
          </cell>
          <cell r="I687" t="str">
            <v>NO</v>
          </cell>
          <cell r="J687" t="str">
            <v>YES</v>
          </cell>
          <cell r="K687" t="str">
            <v>NO</v>
          </cell>
          <cell r="L687" t="str">
            <v>NO</v>
          </cell>
          <cell r="M687" t="str">
            <v>YES</v>
          </cell>
          <cell r="N687" t="str">
            <v>NO</v>
          </cell>
        </row>
        <row r="688">
          <cell r="A688">
            <v>7400</v>
          </cell>
          <cell r="B688">
            <v>570</v>
          </cell>
          <cell r="C688">
            <v>7</v>
          </cell>
          <cell r="D688" t="str">
            <v>NO</v>
          </cell>
          <cell r="E688" t="str">
            <v>YES</v>
          </cell>
          <cell r="F688" t="str">
            <v>NO</v>
          </cell>
          <cell r="G688" t="str">
            <v>NO</v>
          </cell>
          <cell r="H688" t="str">
            <v>NO</v>
          </cell>
          <cell r="I688" t="str">
            <v>NO</v>
          </cell>
          <cell r="J688" t="str">
            <v>YES</v>
          </cell>
          <cell r="K688" t="str">
            <v>NO</v>
          </cell>
          <cell r="L688" t="str">
            <v>NO</v>
          </cell>
          <cell r="M688" t="str">
            <v>YES</v>
          </cell>
          <cell r="N688" t="str">
            <v>NO</v>
          </cell>
        </row>
        <row r="689">
          <cell r="A689">
            <v>7415</v>
          </cell>
          <cell r="B689">
            <v>570</v>
          </cell>
          <cell r="C689">
            <v>7</v>
          </cell>
          <cell r="D689" t="str">
            <v>NO</v>
          </cell>
          <cell r="E689" t="str">
            <v>YES</v>
          </cell>
          <cell r="F689" t="str">
            <v>NO</v>
          </cell>
          <cell r="G689" t="str">
            <v>NO</v>
          </cell>
          <cell r="H689" t="str">
            <v>NO</v>
          </cell>
          <cell r="I689" t="str">
            <v>NO</v>
          </cell>
          <cell r="J689" t="str">
            <v>YES</v>
          </cell>
          <cell r="K689" t="str">
            <v>NO</v>
          </cell>
          <cell r="L689" t="str">
            <v>NO</v>
          </cell>
          <cell r="M689" t="str">
            <v>YES</v>
          </cell>
          <cell r="N689" t="str">
            <v>NO</v>
          </cell>
        </row>
        <row r="690">
          <cell r="A690">
            <v>7425</v>
          </cell>
          <cell r="B690">
            <v>570</v>
          </cell>
          <cell r="C690">
            <v>7</v>
          </cell>
          <cell r="D690" t="str">
            <v>NO</v>
          </cell>
          <cell r="E690" t="str">
            <v>YES</v>
          </cell>
          <cell r="F690" t="str">
            <v>NO</v>
          </cell>
          <cell r="G690" t="str">
            <v>NO</v>
          </cell>
          <cell r="H690" t="str">
            <v>NO</v>
          </cell>
          <cell r="I690" t="str">
            <v>NO</v>
          </cell>
          <cell r="J690" t="str">
            <v>YES</v>
          </cell>
          <cell r="K690" t="str">
            <v>NO</v>
          </cell>
          <cell r="L690" t="str">
            <v>NO</v>
          </cell>
          <cell r="M690" t="str">
            <v>YES</v>
          </cell>
          <cell r="N690" t="str">
            <v>NO</v>
          </cell>
        </row>
        <row r="691">
          <cell r="A691">
            <v>7430</v>
          </cell>
          <cell r="B691">
            <v>570</v>
          </cell>
          <cell r="C691">
            <v>7</v>
          </cell>
          <cell r="D691" t="str">
            <v>NO</v>
          </cell>
          <cell r="E691" t="str">
            <v>YES</v>
          </cell>
          <cell r="F691" t="str">
            <v>NO</v>
          </cell>
          <cell r="G691" t="str">
            <v>NO</v>
          </cell>
          <cell r="H691" t="str">
            <v>NO</v>
          </cell>
          <cell r="I691" t="str">
            <v>NO</v>
          </cell>
          <cell r="J691" t="str">
            <v>YES</v>
          </cell>
          <cell r="K691" t="str">
            <v>NO</v>
          </cell>
          <cell r="L691" t="str">
            <v>NO</v>
          </cell>
          <cell r="M691" t="str">
            <v>YES</v>
          </cell>
          <cell r="N691" t="str">
            <v>NO</v>
          </cell>
        </row>
        <row r="692">
          <cell r="A692">
            <v>7440</v>
          </cell>
          <cell r="B692">
            <v>570</v>
          </cell>
          <cell r="C692">
            <v>7</v>
          </cell>
          <cell r="D692" t="str">
            <v>NO</v>
          </cell>
          <cell r="E692" t="str">
            <v>YES</v>
          </cell>
          <cell r="F692" t="str">
            <v>NO</v>
          </cell>
          <cell r="G692" t="str">
            <v>NO</v>
          </cell>
          <cell r="H692" t="str">
            <v>NO</v>
          </cell>
          <cell r="I692" t="str">
            <v>NO</v>
          </cell>
          <cell r="J692" t="str">
            <v>YES</v>
          </cell>
          <cell r="K692" t="str">
            <v>NO</v>
          </cell>
          <cell r="L692" t="str">
            <v>NO</v>
          </cell>
          <cell r="M692" t="str">
            <v>YES</v>
          </cell>
          <cell r="N692" t="str">
            <v>NO</v>
          </cell>
        </row>
        <row r="693">
          <cell r="A693">
            <v>7450</v>
          </cell>
          <cell r="B693">
            <v>570</v>
          </cell>
          <cell r="C693">
            <v>7</v>
          </cell>
          <cell r="D693" t="str">
            <v>NO</v>
          </cell>
          <cell r="E693" t="str">
            <v>YES</v>
          </cell>
          <cell r="F693" t="str">
            <v>NO</v>
          </cell>
          <cell r="G693" t="str">
            <v>NO</v>
          </cell>
          <cell r="H693" t="str">
            <v>NO</v>
          </cell>
          <cell r="I693" t="str">
            <v>NO</v>
          </cell>
          <cell r="J693" t="str">
            <v>YES</v>
          </cell>
          <cell r="K693" t="str">
            <v>NO</v>
          </cell>
          <cell r="L693" t="str">
            <v>NO</v>
          </cell>
          <cell r="M693" t="str">
            <v>YES</v>
          </cell>
          <cell r="N693" t="str">
            <v>NO</v>
          </cell>
        </row>
        <row r="694">
          <cell r="A694">
            <v>7460</v>
          </cell>
          <cell r="B694">
            <v>570</v>
          </cell>
          <cell r="C694">
            <v>7</v>
          </cell>
          <cell r="D694" t="str">
            <v>NO</v>
          </cell>
          <cell r="E694" t="str">
            <v>YES</v>
          </cell>
          <cell r="F694" t="str">
            <v>NO</v>
          </cell>
          <cell r="G694" t="str">
            <v>NO</v>
          </cell>
          <cell r="H694" t="str">
            <v>NO</v>
          </cell>
          <cell r="I694" t="str">
            <v>NO</v>
          </cell>
          <cell r="J694" t="str">
            <v>YES</v>
          </cell>
          <cell r="K694" t="str">
            <v>NO</v>
          </cell>
          <cell r="L694" t="str">
            <v>NO</v>
          </cell>
          <cell r="M694" t="str">
            <v>YES</v>
          </cell>
          <cell r="N694" t="str">
            <v>NO</v>
          </cell>
        </row>
        <row r="695">
          <cell r="A695">
            <v>7470</v>
          </cell>
          <cell r="B695">
            <v>570</v>
          </cell>
          <cell r="C695">
            <v>7</v>
          </cell>
          <cell r="D695" t="str">
            <v>NO</v>
          </cell>
          <cell r="E695" t="str">
            <v>YES</v>
          </cell>
          <cell r="F695" t="str">
            <v>NO</v>
          </cell>
          <cell r="G695" t="str">
            <v>NO</v>
          </cell>
          <cell r="H695" t="str">
            <v>NO</v>
          </cell>
          <cell r="I695" t="str">
            <v>NO</v>
          </cell>
          <cell r="J695" t="str">
            <v>YES</v>
          </cell>
          <cell r="K695" t="str">
            <v>NO</v>
          </cell>
          <cell r="L695" t="str">
            <v>NO</v>
          </cell>
          <cell r="M695" t="str">
            <v>YES</v>
          </cell>
          <cell r="N695" t="str">
            <v>NO</v>
          </cell>
        </row>
        <row r="696">
          <cell r="A696">
            <v>7480</v>
          </cell>
          <cell r="B696">
            <v>570</v>
          </cell>
          <cell r="C696">
            <v>7</v>
          </cell>
          <cell r="D696" t="str">
            <v>NO</v>
          </cell>
          <cell r="E696" t="str">
            <v>YES</v>
          </cell>
          <cell r="F696" t="str">
            <v>NO</v>
          </cell>
          <cell r="G696" t="str">
            <v>NO</v>
          </cell>
          <cell r="H696" t="str">
            <v>NO</v>
          </cell>
          <cell r="I696" t="str">
            <v>NO</v>
          </cell>
          <cell r="J696" t="str">
            <v>YES</v>
          </cell>
          <cell r="K696" t="str">
            <v>NO</v>
          </cell>
          <cell r="L696" t="str">
            <v>NO</v>
          </cell>
          <cell r="M696" t="str">
            <v>YES</v>
          </cell>
          <cell r="N696" t="str">
            <v>NO</v>
          </cell>
        </row>
        <row r="697">
          <cell r="A697">
            <v>7485</v>
          </cell>
          <cell r="B697">
            <v>570</v>
          </cell>
          <cell r="C697">
            <v>7</v>
          </cell>
          <cell r="D697" t="str">
            <v>NO</v>
          </cell>
          <cell r="E697" t="str">
            <v>YES</v>
          </cell>
          <cell r="F697" t="str">
            <v>NO</v>
          </cell>
          <cell r="G697" t="str">
            <v>NO</v>
          </cell>
          <cell r="H697" t="str">
            <v>NO</v>
          </cell>
          <cell r="I697" t="str">
            <v>NO</v>
          </cell>
          <cell r="J697" t="str">
            <v>YES</v>
          </cell>
          <cell r="K697" t="str">
            <v>NO</v>
          </cell>
          <cell r="L697" t="str">
            <v>NO</v>
          </cell>
          <cell r="M697" t="str">
            <v>YES</v>
          </cell>
          <cell r="N697" t="str">
            <v>NO</v>
          </cell>
        </row>
        <row r="698">
          <cell r="A698">
            <v>7490</v>
          </cell>
          <cell r="B698">
            <v>570</v>
          </cell>
          <cell r="C698">
            <v>7</v>
          </cell>
          <cell r="D698" t="str">
            <v>NO</v>
          </cell>
          <cell r="E698" t="str">
            <v>YES</v>
          </cell>
          <cell r="F698" t="str">
            <v>NO</v>
          </cell>
          <cell r="G698" t="str">
            <v>NO</v>
          </cell>
          <cell r="H698" t="str">
            <v>NO</v>
          </cell>
          <cell r="I698" t="str">
            <v>NO</v>
          </cell>
          <cell r="J698" t="str">
            <v>YES</v>
          </cell>
          <cell r="K698" t="str">
            <v>NO</v>
          </cell>
          <cell r="L698" t="str">
            <v>NO</v>
          </cell>
          <cell r="M698" t="str">
            <v>YES</v>
          </cell>
          <cell r="N698" t="str">
            <v>NO</v>
          </cell>
        </row>
        <row r="699">
          <cell r="A699">
            <v>7500</v>
          </cell>
          <cell r="B699">
            <v>570</v>
          </cell>
          <cell r="C699">
            <v>7</v>
          </cell>
          <cell r="D699" t="str">
            <v>NO</v>
          </cell>
          <cell r="E699" t="str">
            <v>YES</v>
          </cell>
          <cell r="F699" t="str">
            <v>NO</v>
          </cell>
          <cell r="G699" t="str">
            <v>NO</v>
          </cell>
          <cell r="H699" t="str">
            <v>NO</v>
          </cell>
          <cell r="I699" t="str">
            <v>NO</v>
          </cell>
          <cell r="J699" t="str">
            <v>YES</v>
          </cell>
          <cell r="K699" t="str">
            <v>NO</v>
          </cell>
          <cell r="L699" t="str">
            <v>NO</v>
          </cell>
          <cell r="M699" t="str">
            <v>YES</v>
          </cell>
          <cell r="N699" t="str">
            <v>NO</v>
          </cell>
        </row>
        <row r="700">
          <cell r="A700">
            <v>7520</v>
          </cell>
          <cell r="B700">
            <v>570</v>
          </cell>
          <cell r="C700">
            <v>7</v>
          </cell>
          <cell r="D700" t="str">
            <v>NO</v>
          </cell>
          <cell r="E700" t="str">
            <v>YES</v>
          </cell>
          <cell r="F700" t="str">
            <v>NO</v>
          </cell>
          <cell r="G700" t="str">
            <v>NO</v>
          </cell>
          <cell r="H700" t="str">
            <v>NO</v>
          </cell>
          <cell r="I700" t="str">
            <v>NO</v>
          </cell>
          <cell r="J700" t="str">
            <v>YES</v>
          </cell>
          <cell r="K700" t="str">
            <v>NO</v>
          </cell>
          <cell r="L700" t="str">
            <v>NO</v>
          </cell>
          <cell r="M700" t="str">
            <v>YES</v>
          </cell>
          <cell r="N700" t="str">
            <v>NO</v>
          </cell>
        </row>
        <row r="701">
          <cell r="A701">
            <v>7540</v>
          </cell>
          <cell r="B701">
            <v>570</v>
          </cell>
          <cell r="C701">
            <v>7</v>
          </cell>
          <cell r="D701" t="str">
            <v>NO</v>
          </cell>
          <cell r="E701" t="str">
            <v>YES</v>
          </cell>
          <cell r="F701" t="str">
            <v>NO</v>
          </cell>
          <cell r="G701" t="str">
            <v>NO</v>
          </cell>
          <cell r="H701" t="str">
            <v>NO</v>
          </cell>
          <cell r="I701" t="str">
            <v>NO</v>
          </cell>
          <cell r="J701" t="str">
            <v>YES</v>
          </cell>
          <cell r="K701" t="str">
            <v>NO</v>
          </cell>
          <cell r="L701" t="str">
            <v>NO</v>
          </cell>
          <cell r="M701" t="str">
            <v>YES</v>
          </cell>
          <cell r="N701" t="str">
            <v>NO</v>
          </cell>
        </row>
        <row r="702">
          <cell r="A702">
            <v>7555</v>
          </cell>
          <cell r="B702">
            <v>570</v>
          </cell>
          <cell r="C702">
            <v>7</v>
          </cell>
          <cell r="D702" t="str">
            <v>NO</v>
          </cell>
          <cell r="E702" t="str">
            <v>YES</v>
          </cell>
          <cell r="F702" t="str">
            <v>NO</v>
          </cell>
          <cell r="G702" t="str">
            <v>NO</v>
          </cell>
          <cell r="H702" t="str">
            <v>NO</v>
          </cell>
          <cell r="I702" t="str">
            <v>NO</v>
          </cell>
          <cell r="J702" t="str">
            <v>YES</v>
          </cell>
          <cell r="K702" t="str">
            <v>NO</v>
          </cell>
          <cell r="L702" t="str">
            <v>NO</v>
          </cell>
          <cell r="M702" t="str">
            <v>YES</v>
          </cell>
          <cell r="N702" t="str">
            <v>NO</v>
          </cell>
        </row>
        <row r="703">
          <cell r="A703">
            <v>7565</v>
          </cell>
          <cell r="B703">
            <v>570</v>
          </cell>
          <cell r="C703">
            <v>7</v>
          </cell>
          <cell r="D703" t="str">
            <v>NO</v>
          </cell>
          <cell r="E703" t="str">
            <v>YES</v>
          </cell>
          <cell r="F703" t="str">
            <v>NO</v>
          </cell>
          <cell r="G703" t="str">
            <v>NO</v>
          </cell>
          <cell r="H703" t="str">
            <v>NO</v>
          </cell>
          <cell r="I703" t="str">
            <v>NO</v>
          </cell>
          <cell r="J703" t="str">
            <v>YES</v>
          </cell>
          <cell r="K703" t="str">
            <v>NO</v>
          </cell>
          <cell r="L703" t="str">
            <v>NO</v>
          </cell>
          <cell r="M703" t="str">
            <v>YES</v>
          </cell>
          <cell r="N703" t="str">
            <v>NO</v>
          </cell>
        </row>
        <row r="704">
          <cell r="A704">
            <v>7570</v>
          </cell>
          <cell r="B704">
            <v>570</v>
          </cell>
          <cell r="C704">
            <v>7</v>
          </cell>
          <cell r="D704" t="str">
            <v>NO</v>
          </cell>
          <cell r="E704" t="str">
            <v>YES</v>
          </cell>
          <cell r="F704" t="str">
            <v>NO</v>
          </cell>
          <cell r="G704" t="str">
            <v>NO</v>
          </cell>
          <cell r="H704" t="str">
            <v>NO</v>
          </cell>
          <cell r="I704" t="str">
            <v>NO</v>
          </cell>
          <cell r="J704" t="str">
            <v>YES</v>
          </cell>
          <cell r="K704" t="str">
            <v>NO</v>
          </cell>
          <cell r="L704" t="str">
            <v>NO</v>
          </cell>
          <cell r="M704" t="str">
            <v>YES</v>
          </cell>
          <cell r="N704" t="str">
            <v>NO</v>
          </cell>
        </row>
        <row r="705">
          <cell r="A705">
            <v>7580</v>
          </cell>
          <cell r="B705">
            <v>570</v>
          </cell>
          <cell r="C705">
            <v>7</v>
          </cell>
          <cell r="D705" t="str">
            <v>NO</v>
          </cell>
          <cell r="E705" t="str">
            <v>YES</v>
          </cell>
          <cell r="F705" t="str">
            <v>NO</v>
          </cell>
          <cell r="G705" t="str">
            <v>NO</v>
          </cell>
          <cell r="H705" t="str">
            <v>NO</v>
          </cell>
          <cell r="I705" t="str">
            <v>NO</v>
          </cell>
          <cell r="J705" t="str">
            <v>YES</v>
          </cell>
          <cell r="K705" t="str">
            <v>NO</v>
          </cell>
          <cell r="L705" t="str">
            <v>NO</v>
          </cell>
          <cell r="M705" t="str">
            <v>YES</v>
          </cell>
          <cell r="N705" t="str">
            <v>NO</v>
          </cell>
        </row>
        <row r="706">
          <cell r="A706">
            <v>7595</v>
          </cell>
          <cell r="B706">
            <v>570</v>
          </cell>
          <cell r="C706">
            <v>7</v>
          </cell>
          <cell r="D706" t="str">
            <v>NO</v>
          </cell>
          <cell r="E706" t="str">
            <v>YES</v>
          </cell>
          <cell r="F706" t="str">
            <v>NO</v>
          </cell>
          <cell r="G706" t="str">
            <v>NO</v>
          </cell>
          <cell r="H706" t="str">
            <v>NO</v>
          </cell>
          <cell r="I706" t="str">
            <v>NO</v>
          </cell>
          <cell r="J706" t="str">
            <v>YES</v>
          </cell>
          <cell r="K706" t="str">
            <v>NO</v>
          </cell>
          <cell r="L706" t="str">
            <v>NO</v>
          </cell>
          <cell r="M706" t="str">
            <v>YES</v>
          </cell>
          <cell r="N706" t="str">
            <v>NO</v>
          </cell>
        </row>
        <row r="707">
          <cell r="A707">
            <v>7600</v>
          </cell>
          <cell r="B707">
            <v>570</v>
          </cell>
          <cell r="C707">
            <v>7</v>
          </cell>
          <cell r="D707" t="str">
            <v>NO</v>
          </cell>
          <cell r="E707" t="str">
            <v>YES</v>
          </cell>
          <cell r="F707" t="str">
            <v>NO</v>
          </cell>
          <cell r="G707" t="str">
            <v>NO</v>
          </cell>
          <cell r="H707" t="str">
            <v>NO</v>
          </cell>
          <cell r="I707" t="str">
            <v>NO</v>
          </cell>
          <cell r="J707" t="str">
            <v>YES</v>
          </cell>
          <cell r="K707" t="str">
            <v>NO</v>
          </cell>
          <cell r="L707" t="str">
            <v>NO</v>
          </cell>
          <cell r="M707" t="str">
            <v>YES</v>
          </cell>
          <cell r="N707" t="str">
            <v>NO</v>
          </cell>
        </row>
        <row r="708">
          <cell r="A708">
            <v>7625</v>
          </cell>
          <cell r="B708">
            <v>570</v>
          </cell>
          <cell r="C708">
            <v>7</v>
          </cell>
          <cell r="D708" t="str">
            <v>NO</v>
          </cell>
          <cell r="E708" t="str">
            <v>YES</v>
          </cell>
          <cell r="F708" t="str">
            <v>NO</v>
          </cell>
          <cell r="G708" t="str">
            <v>NO</v>
          </cell>
          <cell r="H708" t="str">
            <v>NO</v>
          </cell>
          <cell r="I708" t="str">
            <v>NO</v>
          </cell>
          <cell r="J708" t="str">
            <v>YES</v>
          </cell>
          <cell r="K708" t="str">
            <v>NO</v>
          </cell>
          <cell r="L708" t="str">
            <v>NO</v>
          </cell>
          <cell r="M708" t="str">
            <v>YES</v>
          </cell>
          <cell r="N708" t="str">
            <v>NO</v>
          </cell>
        </row>
        <row r="709">
          <cell r="A709">
            <v>7630</v>
          </cell>
          <cell r="B709">
            <v>570</v>
          </cell>
          <cell r="C709">
            <v>7</v>
          </cell>
          <cell r="D709" t="str">
            <v>NO</v>
          </cell>
          <cell r="E709" t="str">
            <v>YES</v>
          </cell>
          <cell r="F709" t="str">
            <v>NO</v>
          </cell>
          <cell r="G709" t="str">
            <v>NO</v>
          </cell>
          <cell r="H709" t="str">
            <v>NO</v>
          </cell>
          <cell r="I709" t="str">
            <v>NO</v>
          </cell>
          <cell r="J709" t="str">
            <v>YES</v>
          </cell>
          <cell r="K709" t="str">
            <v>NO</v>
          </cell>
          <cell r="L709" t="str">
            <v>NO</v>
          </cell>
          <cell r="M709" t="str">
            <v>YES</v>
          </cell>
          <cell r="N709" t="str">
            <v>NO</v>
          </cell>
        </row>
        <row r="710">
          <cell r="A710">
            <v>7645</v>
          </cell>
          <cell r="B710">
            <v>570</v>
          </cell>
          <cell r="C710">
            <v>7</v>
          </cell>
          <cell r="D710" t="str">
            <v>NO</v>
          </cell>
          <cell r="E710" t="str">
            <v>YES</v>
          </cell>
          <cell r="F710" t="str">
            <v>NO</v>
          </cell>
          <cell r="G710" t="str">
            <v>NO</v>
          </cell>
          <cell r="H710" t="str">
            <v>NO</v>
          </cell>
          <cell r="I710" t="str">
            <v>NO</v>
          </cell>
          <cell r="J710" t="str">
            <v>YES</v>
          </cell>
          <cell r="K710" t="str">
            <v>NO</v>
          </cell>
          <cell r="L710" t="str">
            <v>NO</v>
          </cell>
          <cell r="M710" t="str">
            <v>YES</v>
          </cell>
          <cell r="N710" t="str">
            <v>NO</v>
          </cell>
        </row>
        <row r="711">
          <cell r="A711">
            <v>7655</v>
          </cell>
          <cell r="B711">
            <v>570</v>
          </cell>
          <cell r="C711">
            <v>7</v>
          </cell>
          <cell r="D711" t="str">
            <v>NO</v>
          </cell>
          <cell r="E711" t="str">
            <v>YES</v>
          </cell>
          <cell r="F711" t="str">
            <v>NO</v>
          </cell>
          <cell r="G711" t="str">
            <v>NO</v>
          </cell>
          <cell r="H711" t="str">
            <v>NO</v>
          </cell>
          <cell r="I711" t="str">
            <v>NO</v>
          </cell>
          <cell r="J711" t="str">
            <v>YES</v>
          </cell>
          <cell r="K711" t="str">
            <v>NO</v>
          </cell>
          <cell r="L711" t="str">
            <v>NO</v>
          </cell>
          <cell r="M711" t="str">
            <v>YES</v>
          </cell>
          <cell r="N711" t="str">
            <v>NO</v>
          </cell>
        </row>
        <row r="712">
          <cell r="A712">
            <v>7665</v>
          </cell>
          <cell r="B712">
            <v>570</v>
          </cell>
          <cell r="C712">
            <v>7</v>
          </cell>
          <cell r="D712" t="str">
            <v>NO</v>
          </cell>
          <cell r="E712" t="str">
            <v>YES</v>
          </cell>
          <cell r="F712" t="str">
            <v>NO</v>
          </cell>
          <cell r="G712" t="str">
            <v>NO</v>
          </cell>
          <cell r="H712" t="str">
            <v>NO</v>
          </cell>
          <cell r="I712" t="str">
            <v>NO</v>
          </cell>
          <cell r="J712" t="str">
            <v>YES</v>
          </cell>
          <cell r="K712" t="str">
            <v>NO</v>
          </cell>
          <cell r="L712" t="str">
            <v>NO</v>
          </cell>
          <cell r="M712" t="str">
            <v>YES</v>
          </cell>
          <cell r="N712" t="str">
            <v>NO</v>
          </cell>
        </row>
        <row r="713">
          <cell r="A713">
            <v>7670</v>
          </cell>
          <cell r="B713">
            <v>570</v>
          </cell>
          <cell r="C713">
            <v>7</v>
          </cell>
          <cell r="D713" t="str">
            <v>NO</v>
          </cell>
          <cell r="E713" t="str">
            <v>YES</v>
          </cell>
          <cell r="F713" t="str">
            <v>NO</v>
          </cell>
          <cell r="G713" t="str">
            <v>NO</v>
          </cell>
          <cell r="H713" t="str">
            <v>NO</v>
          </cell>
          <cell r="I713" t="str">
            <v>NO</v>
          </cell>
          <cell r="J713" t="str">
            <v>YES</v>
          </cell>
          <cell r="K713" t="str">
            <v>NO</v>
          </cell>
          <cell r="L713" t="str">
            <v>NO</v>
          </cell>
          <cell r="M713" t="str">
            <v>YES</v>
          </cell>
          <cell r="N713" t="str">
            <v>NO</v>
          </cell>
        </row>
        <row r="714">
          <cell r="A714">
            <v>7700</v>
          </cell>
          <cell r="B714">
            <v>570</v>
          </cell>
          <cell r="C714">
            <v>7</v>
          </cell>
          <cell r="D714" t="str">
            <v>NO</v>
          </cell>
          <cell r="E714" t="str">
            <v>YES</v>
          </cell>
          <cell r="F714" t="str">
            <v>NO</v>
          </cell>
          <cell r="G714" t="str">
            <v>NO</v>
          </cell>
          <cell r="H714" t="str">
            <v>NO</v>
          </cell>
          <cell r="I714" t="str">
            <v>NO</v>
          </cell>
          <cell r="J714" t="str">
            <v>YES</v>
          </cell>
          <cell r="K714" t="str">
            <v>NO</v>
          </cell>
          <cell r="L714" t="str">
            <v>NO</v>
          </cell>
          <cell r="M714" t="str">
            <v>YES</v>
          </cell>
          <cell r="N714" t="str">
            <v>NO</v>
          </cell>
        </row>
        <row r="715">
          <cell r="A715">
            <v>7750</v>
          </cell>
          <cell r="B715">
            <v>570</v>
          </cell>
          <cell r="C715">
            <v>7</v>
          </cell>
          <cell r="D715" t="str">
            <v>NO</v>
          </cell>
          <cell r="E715" t="str">
            <v>YES</v>
          </cell>
          <cell r="F715" t="str">
            <v>NO</v>
          </cell>
          <cell r="G715" t="str">
            <v>NO</v>
          </cell>
          <cell r="H715" t="str">
            <v>NO</v>
          </cell>
          <cell r="I715" t="str">
            <v>NO</v>
          </cell>
          <cell r="J715" t="str">
            <v>YES</v>
          </cell>
          <cell r="K715" t="str">
            <v>NO</v>
          </cell>
          <cell r="L715" t="str">
            <v>NO</v>
          </cell>
          <cell r="M715" t="str">
            <v>YES</v>
          </cell>
          <cell r="N715" t="str">
            <v>NO</v>
          </cell>
        </row>
        <row r="716">
          <cell r="A716">
            <v>7780</v>
          </cell>
          <cell r="B716">
            <v>570</v>
          </cell>
          <cell r="C716">
            <v>7</v>
          </cell>
          <cell r="D716" t="str">
            <v>NO</v>
          </cell>
          <cell r="E716" t="str">
            <v>YES</v>
          </cell>
          <cell r="F716" t="str">
            <v>NO</v>
          </cell>
          <cell r="G716" t="str">
            <v>NO</v>
          </cell>
          <cell r="H716" t="str">
            <v>NO</v>
          </cell>
          <cell r="I716" t="str">
            <v>NO</v>
          </cell>
          <cell r="J716" t="str">
            <v>YES</v>
          </cell>
          <cell r="K716" t="str">
            <v>NO</v>
          </cell>
          <cell r="L716" t="str">
            <v>NO</v>
          </cell>
          <cell r="M716" t="str">
            <v>YES</v>
          </cell>
          <cell r="N716" t="str">
            <v>NO</v>
          </cell>
        </row>
        <row r="717">
          <cell r="A717">
            <v>7800</v>
          </cell>
          <cell r="B717">
            <v>570</v>
          </cell>
          <cell r="C717">
            <v>7</v>
          </cell>
          <cell r="D717" t="str">
            <v>NO</v>
          </cell>
          <cell r="E717" t="str">
            <v>YES</v>
          </cell>
          <cell r="F717" t="str">
            <v>NO</v>
          </cell>
          <cell r="G717" t="str">
            <v>NO</v>
          </cell>
          <cell r="H717" t="str">
            <v>NO</v>
          </cell>
          <cell r="I717" t="str">
            <v>NO</v>
          </cell>
          <cell r="J717" t="str">
            <v>YES</v>
          </cell>
          <cell r="K717" t="str">
            <v>NO</v>
          </cell>
          <cell r="L717" t="str">
            <v>NO</v>
          </cell>
          <cell r="M717" t="str">
            <v>YES</v>
          </cell>
          <cell r="N717" t="str">
            <v>NO</v>
          </cell>
        </row>
        <row r="718">
          <cell r="A718">
            <v>7801</v>
          </cell>
          <cell r="B718">
            <v>570</v>
          </cell>
          <cell r="C718">
            <v>7</v>
          </cell>
          <cell r="D718" t="str">
            <v>NO</v>
          </cell>
          <cell r="E718" t="str">
            <v>YES</v>
          </cell>
          <cell r="F718" t="str">
            <v>NO</v>
          </cell>
          <cell r="G718" t="str">
            <v>NO</v>
          </cell>
          <cell r="H718" t="str">
            <v>NO</v>
          </cell>
          <cell r="I718" t="str">
            <v>NO</v>
          </cell>
          <cell r="J718" t="str">
            <v>YES</v>
          </cell>
          <cell r="K718" t="str">
            <v>NO</v>
          </cell>
          <cell r="L718" t="str">
            <v>NO</v>
          </cell>
          <cell r="M718" t="str">
            <v>YES</v>
          </cell>
          <cell r="N718" t="str">
            <v>NO</v>
          </cell>
        </row>
        <row r="719">
          <cell r="A719">
            <v>7825</v>
          </cell>
          <cell r="B719">
            <v>570</v>
          </cell>
          <cell r="C719">
            <v>7</v>
          </cell>
          <cell r="D719" t="str">
            <v>NO</v>
          </cell>
          <cell r="E719" t="str">
            <v>YES</v>
          </cell>
          <cell r="F719" t="str">
            <v>NO</v>
          </cell>
          <cell r="G719" t="str">
            <v>NO</v>
          </cell>
          <cell r="H719" t="str">
            <v>NO</v>
          </cell>
          <cell r="I719" t="str">
            <v>NO</v>
          </cell>
          <cell r="J719" t="str">
            <v>YES</v>
          </cell>
          <cell r="K719" t="str">
            <v>NO</v>
          </cell>
          <cell r="L719" t="str">
            <v>NO</v>
          </cell>
          <cell r="M719" t="str">
            <v>YES</v>
          </cell>
          <cell r="N719" t="str">
            <v>NO</v>
          </cell>
        </row>
        <row r="720">
          <cell r="A720">
            <v>7830</v>
          </cell>
          <cell r="B720">
            <v>570</v>
          </cell>
          <cell r="C720">
            <v>7</v>
          </cell>
          <cell r="D720" t="str">
            <v>NO</v>
          </cell>
          <cell r="E720" t="str">
            <v>YES</v>
          </cell>
          <cell r="F720" t="str">
            <v>NO</v>
          </cell>
          <cell r="G720" t="str">
            <v>NO</v>
          </cell>
          <cell r="H720" t="str">
            <v>NO</v>
          </cell>
          <cell r="I720" t="str">
            <v>NO</v>
          </cell>
          <cell r="J720" t="str">
            <v>YES</v>
          </cell>
          <cell r="K720" t="str">
            <v>NO</v>
          </cell>
          <cell r="L720" t="str">
            <v>NO</v>
          </cell>
          <cell r="M720" t="str">
            <v>YES</v>
          </cell>
          <cell r="N720" t="str">
            <v>NO</v>
          </cell>
        </row>
        <row r="721">
          <cell r="A721">
            <v>7845</v>
          </cell>
          <cell r="B721">
            <v>570</v>
          </cell>
          <cell r="C721">
            <v>7</v>
          </cell>
          <cell r="D721" t="str">
            <v>NO</v>
          </cell>
          <cell r="E721" t="str">
            <v>YES</v>
          </cell>
          <cell r="F721" t="str">
            <v>NO</v>
          </cell>
          <cell r="G721" t="str">
            <v>NO</v>
          </cell>
          <cell r="H721" t="str">
            <v>NO</v>
          </cell>
          <cell r="I721" t="str">
            <v>NO</v>
          </cell>
          <cell r="J721" t="str">
            <v>YES</v>
          </cell>
          <cell r="K721" t="str">
            <v>NO</v>
          </cell>
          <cell r="L721" t="str">
            <v>NO</v>
          </cell>
          <cell r="M721" t="str">
            <v>YES</v>
          </cell>
          <cell r="N721" t="str">
            <v>NO</v>
          </cell>
        </row>
        <row r="722">
          <cell r="A722">
            <v>7855</v>
          </cell>
          <cell r="B722">
            <v>570</v>
          </cell>
          <cell r="C722">
            <v>7</v>
          </cell>
          <cell r="D722" t="str">
            <v>NO</v>
          </cell>
          <cell r="E722" t="str">
            <v>YES</v>
          </cell>
          <cell r="F722" t="str">
            <v>NO</v>
          </cell>
          <cell r="G722" t="str">
            <v>NO</v>
          </cell>
          <cell r="H722" t="str">
            <v>NO</v>
          </cell>
          <cell r="I722" t="str">
            <v>NO</v>
          </cell>
          <cell r="J722" t="str">
            <v>YES</v>
          </cell>
          <cell r="K722" t="str">
            <v>NO</v>
          </cell>
          <cell r="L722" t="str">
            <v>NO</v>
          </cell>
          <cell r="M722" t="str">
            <v>YES</v>
          </cell>
          <cell r="N722" t="str">
            <v>NO</v>
          </cell>
        </row>
        <row r="723">
          <cell r="A723">
            <v>7860</v>
          </cell>
          <cell r="B723">
            <v>570</v>
          </cell>
          <cell r="C723">
            <v>7</v>
          </cell>
          <cell r="D723" t="str">
            <v>NO</v>
          </cell>
          <cell r="E723" t="str">
            <v>YES</v>
          </cell>
          <cell r="F723" t="str">
            <v>NO</v>
          </cell>
          <cell r="G723" t="str">
            <v>NO</v>
          </cell>
          <cell r="H723" t="str">
            <v>NO</v>
          </cell>
          <cell r="I723" t="str">
            <v>NO</v>
          </cell>
          <cell r="J723" t="str">
            <v>YES</v>
          </cell>
          <cell r="K723" t="str">
            <v>NO</v>
          </cell>
          <cell r="L723" t="str">
            <v>NO</v>
          </cell>
          <cell r="M723" t="str">
            <v>YES</v>
          </cell>
          <cell r="N723" t="str">
            <v>NO</v>
          </cell>
        </row>
        <row r="724">
          <cell r="A724">
            <v>7875</v>
          </cell>
          <cell r="B724">
            <v>570</v>
          </cell>
          <cell r="C724">
            <v>7</v>
          </cell>
          <cell r="D724" t="str">
            <v>NO</v>
          </cell>
          <cell r="E724" t="str">
            <v>YES</v>
          </cell>
          <cell r="F724" t="str">
            <v>NO</v>
          </cell>
          <cell r="G724" t="str">
            <v>NO</v>
          </cell>
          <cell r="H724" t="str">
            <v>NO</v>
          </cell>
          <cell r="I724" t="str">
            <v>NO</v>
          </cell>
          <cell r="J724" t="str">
            <v>YES</v>
          </cell>
          <cell r="K724" t="str">
            <v>NO</v>
          </cell>
          <cell r="L724" t="str">
            <v>NO</v>
          </cell>
          <cell r="M724" t="str">
            <v>YES</v>
          </cell>
          <cell r="N724" t="str">
            <v>NO</v>
          </cell>
        </row>
        <row r="725">
          <cell r="A725">
            <v>7885</v>
          </cell>
          <cell r="B725">
            <v>570</v>
          </cell>
          <cell r="C725">
            <v>7</v>
          </cell>
          <cell r="D725" t="str">
            <v>NO</v>
          </cell>
          <cell r="E725" t="str">
            <v>YES</v>
          </cell>
          <cell r="F725" t="str">
            <v>NO</v>
          </cell>
          <cell r="G725" t="str">
            <v>NO</v>
          </cell>
          <cell r="H725" t="str">
            <v>NO</v>
          </cell>
          <cell r="I725" t="str">
            <v>NO</v>
          </cell>
          <cell r="J725" t="str">
            <v>YES</v>
          </cell>
          <cell r="K725" t="str">
            <v>NO</v>
          </cell>
          <cell r="L725" t="str">
            <v>NO</v>
          </cell>
          <cell r="M725" t="str">
            <v>YES</v>
          </cell>
          <cell r="N725" t="str">
            <v>NO</v>
          </cell>
        </row>
        <row r="726">
          <cell r="A726">
            <v>7900</v>
          </cell>
          <cell r="B726">
            <v>570</v>
          </cell>
          <cell r="C726">
            <v>7</v>
          </cell>
          <cell r="D726" t="str">
            <v>NO</v>
          </cell>
          <cell r="E726" t="str">
            <v>YES</v>
          </cell>
          <cell r="F726" t="str">
            <v>NO</v>
          </cell>
          <cell r="G726" t="str">
            <v>NO</v>
          </cell>
          <cell r="H726" t="str">
            <v>NO</v>
          </cell>
          <cell r="I726" t="str">
            <v>NO</v>
          </cell>
          <cell r="J726" t="str">
            <v>YES</v>
          </cell>
          <cell r="K726" t="str">
            <v>NO</v>
          </cell>
          <cell r="L726" t="str">
            <v>NO</v>
          </cell>
          <cell r="M726" t="str">
            <v>YES</v>
          </cell>
          <cell r="N726" t="str">
            <v>NO</v>
          </cell>
        </row>
        <row r="727">
          <cell r="A727">
            <v>7920</v>
          </cell>
          <cell r="B727">
            <v>570</v>
          </cell>
          <cell r="C727">
            <v>7</v>
          </cell>
          <cell r="D727" t="str">
            <v>NO</v>
          </cell>
          <cell r="E727" t="str">
            <v>YES</v>
          </cell>
          <cell r="F727" t="str">
            <v>NO</v>
          </cell>
          <cell r="G727" t="str">
            <v>NO</v>
          </cell>
          <cell r="H727" t="str">
            <v>NO</v>
          </cell>
          <cell r="I727" t="str">
            <v>NO</v>
          </cell>
          <cell r="J727" t="str">
            <v>YES</v>
          </cell>
          <cell r="K727" t="str">
            <v>NO</v>
          </cell>
          <cell r="L727" t="str">
            <v>NO</v>
          </cell>
          <cell r="M727" t="str">
            <v>YES</v>
          </cell>
          <cell r="N727" t="str">
            <v>NO</v>
          </cell>
        </row>
        <row r="728">
          <cell r="A728">
            <v>7940</v>
          </cell>
          <cell r="B728">
            <v>570</v>
          </cell>
          <cell r="C728">
            <v>7</v>
          </cell>
          <cell r="D728" t="str">
            <v>NO</v>
          </cell>
          <cell r="E728" t="str">
            <v>YES</v>
          </cell>
          <cell r="F728" t="str">
            <v>NO</v>
          </cell>
          <cell r="G728" t="str">
            <v>NO</v>
          </cell>
          <cell r="H728" t="str">
            <v>NO</v>
          </cell>
          <cell r="I728" t="str">
            <v>NO</v>
          </cell>
          <cell r="J728" t="str">
            <v>YES</v>
          </cell>
          <cell r="K728" t="str">
            <v>NO</v>
          </cell>
          <cell r="L728" t="str">
            <v>NO</v>
          </cell>
          <cell r="M728" t="str">
            <v>YES</v>
          </cell>
          <cell r="N728" t="str">
            <v>NO</v>
          </cell>
        </row>
        <row r="729">
          <cell r="A729">
            <v>7960</v>
          </cell>
          <cell r="B729">
            <v>570</v>
          </cell>
          <cell r="C729">
            <v>7</v>
          </cell>
          <cell r="D729" t="str">
            <v>NO</v>
          </cell>
          <cell r="E729" t="str">
            <v>YES</v>
          </cell>
          <cell r="F729" t="str">
            <v>NO</v>
          </cell>
          <cell r="G729" t="str">
            <v>NO</v>
          </cell>
          <cell r="H729" t="str">
            <v>NO</v>
          </cell>
          <cell r="I729" t="str">
            <v>NO</v>
          </cell>
          <cell r="J729" t="str">
            <v>YES</v>
          </cell>
          <cell r="K729" t="str">
            <v>NO</v>
          </cell>
          <cell r="L729" t="str">
            <v>NO</v>
          </cell>
          <cell r="M729" t="str">
            <v>YES</v>
          </cell>
          <cell r="N729" t="str">
            <v>NO</v>
          </cell>
        </row>
        <row r="730">
          <cell r="A730">
            <v>8000</v>
          </cell>
          <cell r="B730">
            <v>570</v>
          </cell>
          <cell r="C730">
            <v>7</v>
          </cell>
          <cell r="D730" t="str">
            <v>NO</v>
          </cell>
          <cell r="E730" t="str">
            <v>YES</v>
          </cell>
          <cell r="F730" t="str">
            <v>NO</v>
          </cell>
          <cell r="G730" t="str">
            <v>NO</v>
          </cell>
          <cell r="H730" t="str">
            <v>NO</v>
          </cell>
          <cell r="I730" t="str">
            <v>NO</v>
          </cell>
          <cell r="J730" t="str">
            <v>YES</v>
          </cell>
          <cell r="K730" t="str">
            <v>NO</v>
          </cell>
          <cell r="L730" t="str">
            <v>NO</v>
          </cell>
          <cell r="M730" t="str">
            <v>YES</v>
          </cell>
          <cell r="N730" t="str">
            <v>NO</v>
          </cell>
        </row>
        <row r="731">
          <cell r="A731">
            <v>8004</v>
          </cell>
          <cell r="B731">
            <v>570</v>
          </cell>
          <cell r="C731">
            <v>7</v>
          </cell>
          <cell r="D731" t="str">
            <v>NO</v>
          </cell>
          <cell r="E731" t="str">
            <v>YES</v>
          </cell>
          <cell r="F731" t="str">
            <v>NO</v>
          </cell>
          <cell r="G731" t="str">
            <v>NO</v>
          </cell>
          <cell r="H731" t="str">
            <v>NO</v>
          </cell>
          <cell r="I731" t="str">
            <v>NO</v>
          </cell>
          <cell r="J731" t="str">
            <v>YES</v>
          </cell>
          <cell r="K731" t="str">
            <v>NO</v>
          </cell>
          <cell r="L731" t="str">
            <v>NO</v>
          </cell>
          <cell r="M731" t="str">
            <v>YES</v>
          </cell>
          <cell r="N731" t="str">
            <v>NO</v>
          </cell>
        </row>
        <row r="732">
          <cell r="A732">
            <v>8005</v>
          </cell>
          <cell r="B732">
            <v>570</v>
          </cell>
          <cell r="C732">
            <v>7</v>
          </cell>
          <cell r="D732" t="str">
            <v>NO</v>
          </cell>
          <cell r="E732" t="str">
            <v>YES</v>
          </cell>
          <cell r="F732" t="str">
            <v>NO</v>
          </cell>
          <cell r="G732" t="str">
            <v>NO</v>
          </cell>
          <cell r="H732" t="str">
            <v>NO</v>
          </cell>
          <cell r="I732" t="str">
            <v>NO</v>
          </cell>
          <cell r="J732" t="str">
            <v>YES</v>
          </cell>
          <cell r="K732" t="str">
            <v>NO</v>
          </cell>
          <cell r="L732" t="str">
            <v>NO</v>
          </cell>
          <cell r="M732" t="str">
            <v>YES</v>
          </cell>
          <cell r="N732" t="str">
            <v>NO</v>
          </cell>
        </row>
        <row r="733">
          <cell r="A733">
            <v>8009</v>
          </cell>
          <cell r="B733">
            <v>570</v>
          </cell>
          <cell r="C733">
            <v>7</v>
          </cell>
          <cell r="D733" t="str">
            <v>NO</v>
          </cell>
          <cell r="E733" t="str">
            <v>YES</v>
          </cell>
          <cell r="F733" t="str">
            <v>NO</v>
          </cell>
          <cell r="G733" t="str">
            <v>NO</v>
          </cell>
          <cell r="H733" t="str">
            <v>NO</v>
          </cell>
          <cell r="I733" t="str">
            <v>NO</v>
          </cell>
          <cell r="J733" t="str">
            <v>YES</v>
          </cell>
          <cell r="K733" t="str">
            <v>NO</v>
          </cell>
          <cell r="L733" t="str">
            <v>NO</v>
          </cell>
          <cell r="M733" t="str">
            <v>YES</v>
          </cell>
          <cell r="N733" t="str">
            <v>NO</v>
          </cell>
        </row>
        <row r="734">
          <cell r="A734">
            <v>8100</v>
          </cell>
          <cell r="B734">
            <v>570</v>
          </cell>
          <cell r="C734">
            <v>7</v>
          </cell>
          <cell r="D734" t="str">
            <v>NO</v>
          </cell>
          <cell r="E734" t="str">
            <v>YES</v>
          </cell>
          <cell r="F734" t="str">
            <v>NO</v>
          </cell>
          <cell r="G734" t="str">
            <v>NO</v>
          </cell>
          <cell r="H734" t="str">
            <v>NO</v>
          </cell>
          <cell r="I734" t="str">
            <v>NO</v>
          </cell>
          <cell r="J734" t="str">
            <v>YES</v>
          </cell>
          <cell r="K734" t="str">
            <v>NO</v>
          </cell>
          <cell r="L734" t="str">
            <v>NO</v>
          </cell>
          <cell r="M734" t="str">
            <v>YES</v>
          </cell>
          <cell r="N734" t="str">
            <v>NO</v>
          </cell>
        </row>
        <row r="735">
          <cell r="A735">
            <v>8125</v>
          </cell>
          <cell r="B735">
            <v>570</v>
          </cell>
          <cell r="C735">
            <v>7</v>
          </cell>
          <cell r="D735" t="str">
            <v>NO</v>
          </cell>
          <cell r="E735" t="str">
            <v>YES</v>
          </cell>
          <cell r="F735" t="str">
            <v>NO</v>
          </cell>
          <cell r="G735" t="str">
            <v>NO</v>
          </cell>
          <cell r="H735" t="str">
            <v>NO</v>
          </cell>
          <cell r="I735" t="str">
            <v>NO</v>
          </cell>
          <cell r="J735" t="str">
            <v>YES</v>
          </cell>
          <cell r="K735" t="str">
            <v>NO</v>
          </cell>
          <cell r="L735" t="str">
            <v>NO</v>
          </cell>
          <cell r="M735" t="str">
            <v>YES</v>
          </cell>
          <cell r="N735" t="str">
            <v>NO</v>
          </cell>
        </row>
        <row r="736">
          <cell r="A736">
            <v>8135</v>
          </cell>
          <cell r="B736">
            <v>570</v>
          </cell>
          <cell r="C736">
            <v>7</v>
          </cell>
          <cell r="D736" t="str">
            <v>NO</v>
          </cell>
          <cell r="E736" t="str">
            <v>YES</v>
          </cell>
          <cell r="F736" t="str">
            <v>NO</v>
          </cell>
          <cell r="G736" t="str">
            <v>NO</v>
          </cell>
          <cell r="H736" t="str">
            <v>NO</v>
          </cell>
          <cell r="I736" t="str">
            <v>NO</v>
          </cell>
          <cell r="J736" t="str">
            <v>YES</v>
          </cell>
          <cell r="K736" t="str">
            <v>NO</v>
          </cell>
          <cell r="L736" t="str">
            <v>NO</v>
          </cell>
          <cell r="M736" t="str">
            <v>YES</v>
          </cell>
          <cell r="N736" t="str">
            <v>NO</v>
          </cell>
        </row>
        <row r="737">
          <cell r="A737">
            <v>8136</v>
          </cell>
          <cell r="B737">
            <v>570</v>
          </cell>
          <cell r="C737">
            <v>7</v>
          </cell>
          <cell r="D737" t="str">
            <v>NO</v>
          </cell>
          <cell r="E737" t="str">
            <v>YES</v>
          </cell>
          <cell r="F737" t="str">
            <v>NO</v>
          </cell>
          <cell r="G737" t="str">
            <v>NO</v>
          </cell>
          <cell r="H737" t="str">
            <v>NO</v>
          </cell>
          <cell r="I737" t="str">
            <v>NO</v>
          </cell>
          <cell r="J737" t="str">
            <v>YES</v>
          </cell>
          <cell r="K737" t="str">
            <v>NO</v>
          </cell>
          <cell r="L737" t="str">
            <v>NO</v>
          </cell>
          <cell r="M737" t="str">
            <v>YES</v>
          </cell>
          <cell r="N737" t="str">
            <v>NO</v>
          </cell>
        </row>
        <row r="738">
          <cell r="A738">
            <v>8150</v>
          </cell>
          <cell r="B738">
            <v>570</v>
          </cell>
          <cell r="C738">
            <v>7</v>
          </cell>
          <cell r="D738" t="str">
            <v>NO</v>
          </cell>
          <cell r="E738" t="str">
            <v>YES</v>
          </cell>
          <cell r="F738" t="str">
            <v>NO</v>
          </cell>
          <cell r="G738" t="str">
            <v>NO</v>
          </cell>
          <cell r="H738" t="str">
            <v>NO</v>
          </cell>
          <cell r="I738" t="str">
            <v>NO</v>
          </cell>
          <cell r="J738" t="str">
            <v>YES</v>
          </cell>
          <cell r="K738" t="str">
            <v>NO</v>
          </cell>
          <cell r="L738" t="str">
            <v>NO</v>
          </cell>
          <cell r="M738" t="str">
            <v>YES</v>
          </cell>
          <cell r="N738" t="str">
            <v>NO</v>
          </cell>
        </row>
        <row r="739">
          <cell r="A739">
            <v>8200</v>
          </cell>
          <cell r="B739">
            <v>570</v>
          </cell>
          <cell r="C739">
            <v>7</v>
          </cell>
          <cell r="D739" t="str">
            <v>NO</v>
          </cell>
          <cell r="E739" t="str">
            <v>YES</v>
          </cell>
          <cell r="F739" t="str">
            <v>NO</v>
          </cell>
          <cell r="G739" t="str">
            <v>NO</v>
          </cell>
          <cell r="H739" t="str">
            <v>NO</v>
          </cell>
          <cell r="I739" t="str">
            <v>NO</v>
          </cell>
          <cell r="J739" t="str">
            <v>YES</v>
          </cell>
          <cell r="K739" t="str">
            <v>NO</v>
          </cell>
          <cell r="L739" t="str">
            <v>NO</v>
          </cell>
          <cell r="M739" t="str">
            <v>YES</v>
          </cell>
          <cell r="N739" t="str">
            <v>NO</v>
          </cell>
        </row>
        <row r="740">
          <cell r="A740">
            <v>8201</v>
          </cell>
          <cell r="B740">
            <v>570</v>
          </cell>
          <cell r="C740">
            <v>7</v>
          </cell>
          <cell r="D740" t="str">
            <v>NO</v>
          </cell>
          <cell r="E740" t="str">
            <v>YES</v>
          </cell>
          <cell r="F740" t="str">
            <v>NO</v>
          </cell>
          <cell r="G740" t="str">
            <v>NO</v>
          </cell>
          <cell r="H740" t="str">
            <v>NO</v>
          </cell>
          <cell r="I740" t="str">
            <v>NO</v>
          </cell>
          <cell r="J740" t="str">
            <v>YES</v>
          </cell>
          <cell r="K740" t="str">
            <v>NO</v>
          </cell>
          <cell r="L740" t="str">
            <v>NO</v>
          </cell>
          <cell r="M740" t="str">
            <v>YES</v>
          </cell>
          <cell r="N740" t="str">
            <v>NO</v>
          </cell>
        </row>
        <row r="741">
          <cell r="A741">
            <v>8300</v>
          </cell>
          <cell r="B741">
            <v>570</v>
          </cell>
          <cell r="C741">
            <v>7</v>
          </cell>
          <cell r="D741" t="str">
            <v>NO</v>
          </cell>
          <cell r="E741" t="str">
            <v>YES</v>
          </cell>
          <cell r="F741" t="str">
            <v>NO</v>
          </cell>
          <cell r="G741" t="str">
            <v>NO</v>
          </cell>
          <cell r="H741" t="str">
            <v>NO</v>
          </cell>
          <cell r="I741" t="str">
            <v>NO</v>
          </cell>
          <cell r="J741" t="str">
            <v>YES</v>
          </cell>
          <cell r="K741" t="str">
            <v>NO</v>
          </cell>
          <cell r="L741" t="str">
            <v>NO</v>
          </cell>
          <cell r="M741" t="str">
            <v>YES</v>
          </cell>
          <cell r="N741" t="str">
            <v>NO</v>
          </cell>
        </row>
        <row r="742">
          <cell r="A742">
            <v>8365</v>
          </cell>
          <cell r="B742">
            <v>570</v>
          </cell>
          <cell r="C742">
            <v>7</v>
          </cell>
          <cell r="D742" t="str">
            <v>NO</v>
          </cell>
          <cell r="E742" t="str">
            <v>YES</v>
          </cell>
          <cell r="F742" t="str">
            <v>NO</v>
          </cell>
          <cell r="G742" t="str">
            <v>NO</v>
          </cell>
          <cell r="H742" t="str">
            <v>NO</v>
          </cell>
          <cell r="I742" t="str">
            <v>NO</v>
          </cell>
          <cell r="J742" t="str">
            <v>YES</v>
          </cell>
          <cell r="K742" t="str">
            <v>NO</v>
          </cell>
          <cell r="L742" t="str">
            <v>NO</v>
          </cell>
          <cell r="M742" t="str">
            <v>YES</v>
          </cell>
          <cell r="N742" t="str">
            <v>NO</v>
          </cell>
        </row>
        <row r="743">
          <cell r="A743">
            <v>8375</v>
          </cell>
          <cell r="B743">
            <v>570</v>
          </cell>
          <cell r="C743">
            <v>7</v>
          </cell>
          <cell r="D743" t="str">
            <v>NO</v>
          </cell>
          <cell r="E743" t="str">
            <v>YES</v>
          </cell>
          <cell r="F743" t="str">
            <v>NO</v>
          </cell>
          <cell r="G743" t="str">
            <v>NO</v>
          </cell>
          <cell r="H743" t="str">
            <v>NO</v>
          </cell>
          <cell r="I743" t="str">
            <v>NO</v>
          </cell>
          <cell r="J743" t="str">
            <v>YES</v>
          </cell>
          <cell r="K743" t="str">
            <v>NO</v>
          </cell>
          <cell r="L743" t="str">
            <v>NO</v>
          </cell>
          <cell r="M743" t="str">
            <v>YES</v>
          </cell>
          <cell r="N743" t="str">
            <v>NO</v>
          </cell>
        </row>
        <row r="744">
          <cell r="A744">
            <v>8400</v>
          </cell>
          <cell r="B744">
            <v>570</v>
          </cell>
          <cell r="C744">
            <v>7</v>
          </cell>
          <cell r="D744" t="str">
            <v>NO</v>
          </cell>
          <cell r="E744" t="str">
            <v>YES</v>
          </cell>
          <cell r="F744" t="str">
            <v>NO</v>
          </cell>
          <cell r="G744" t="str">
            <v>NO</v>
          </cell>
          <cell r="H744" t="str">
            <v>NO</v>
          </cell>
          <cell r="I744" t="str">
            <v>NO</v>
          </cell>
          <cell r="J744" t="str">
            <v>YES</v>
          </cell>
          <cell r="K744" t="str">
            <v>NO</v>
          </cell>
          <cell r="L744" t="str">
            <v>NO</v>
          </cell>
          <cell r="M744" t="str">
            <v>YES</v>
          </cell>
          <cell r="N744" t="str">
            <v>NO</v>
          </cell>
        </row>
        <row r="745">
          <cell r="A745">
            <v>8401</v>
          </cell>
          <cell r="B745">
            <v>570</v>
          </cell>
          <cell r="C745">
            <v>7</v>
          </cell>
          <cell r="D745" t="str">
            <v>NO</v>
          </cell>
          <cell r="E745" t="str">
            <v>YES</v>
          </cell>
          <cell r="F745" t="str">
            <v>NO</v>
          </cell>
          <cell r="G745" t="str">
            <v>NO</v>
          </cell>
          <cell r="H745" t="str">
            <v>NO</v>
          </cell>
          <cell r="I745" t="str">
            <v>NO</v>
          </cell>
          <cell r="J745" t="str">
            <v>YES</v>
          </cell>
          <cell r="K745" t="str">
            <v>NO</v>
          </cell>
          <cell r="L745" t="str">
            <v>NO</v>
          </cell>
          <cell r="M745" t="str">
            <v>YES</v>
          </cell>
          <cell r="N745" t="str">
            <v>NO</v>
          </cell>
        </row>
        <row r="746">
          <cell r="A746">
            <v>8500</v>
          </cell>
          <cell r="B746">
            <v>570</v>
          </cell>
          <cell r="C746">
            <v>7</v>
          </cell>
          <cell r="D746" t="str">
            <v>NO</v>
          </cell>
          <cell r="E746" t="str">
            <v>YES</v>
          </cell>
          <cell r="F746" t="str">
            <v>NO</v>
          </cell>
          <cell r="G746" t="str">
            <v>NO</v>
          </cell>
          <cell r="H746" t="str">
            <v>NO</v>
          </cell>
          <cell r="I746" t="str">
            <v>NO</v>
          </cell>
          <cell r="J746" t="str">
            <v>YES</v>
          </cell>
          <cell r="K746" t="str">
            <v>NO</v>
          </cell>
          <cell r="L746" t="str">
            <v>NO</v>
          </cell>
          <cell r="M746" t="str">
            <v>YES</v>
          </cell>
          <cell r="N746" t="str">
            <v>NO</v>
          </cell>
        </row>
        <row r="747">
          <cell r="A747">
            <v>8501</v>
          </cell>
          <cell r="B747">
            <v>570</v>
          </cell>
          <cell r="C747">
            <v>7</v>
          </cell>
          <cell r="D747" t="str">
            <v>NO</v>
          </cell>
          <cell r="E747" t="str">
            <v>YES</v>
          </cell>
          <cell r="F747" t="str">
            <v>NO</v>
          </cell>
          <cell r="G747" t="str">
            <v>NO</v>
          </cell>
          <cell r="H747" t="str">
            <v>NO</v>
          </cell>
          <cell r="I747" t="str">
            <v>NO</v>
          </cell>
          <cell r="J747" t="str">
            <v>YES</v>
          </cell>
          <cell r="K747" t="str">
            <v>NO</v>
          </cell>
          <cell r="L747" t="str">
            <v>NO</v>
          </cell>
          <cell r="M747" t="str">
            <v>YES</v>
          </cell>
          <cell r="N747" t="str">
            <v>NO</v>
          </cell>
        </row>
        <row r="748">
          <cell r="A748">
            <v>8550</v>
          </cell>
          <cell r="B748">
            <v>570</v>
          </cell>
          <cell r="C748">
            <v>7</v>
          </cell>
          <cell r="D748" t="str">
            <v>NO</v>
          </cell>
          <cell r="E748" t="str">
            <v>YES</v>
          </cell>
          <cell r="F748" t="str">
            <v>NO</v>
          </cell>
          <cell r="G748" t="str">
            <v>NO</v>
          </cell>
          <cell r="H748" t="str">
            <v>NO</v>
          </cell>
          <cell r="I748" t="str">
            <v>NO</v>
          </cell>
          <cell r="J748" t="str">
            <v>YES</v>
          </cell>
          <cell r="K748" t="str">
            <v>NO</v>
          </cell>
          <cell r="L748" t="str">
            <v>NO</v>
          </cell>
          <cell r="M748" t="str">
            <v>YES</v>
          </cell>
          <cell r="N748" t="str">
            <v>NO</v>
          </cell>
        </row>
        <row r="749">
          <cell r="A749">
            <v>8600</v>
          </cell>
          <cell r="B749">
            <v>570</v>
          </cell>
          <cell r="C749">
            <v>7</v>
          </cell>
          <cell r="D749" t="str">
            <v>NO</v>
          </cell>
          <cell r="E749" t="str">
            <v>YES</v>
          </cell>
          <cell r="F749" t="str">
            <v>NO</v>
          </cell>
          <cell r="G749" t="str">
            <v>NO</v>
          </cell>
          <cell r="H749" t="str">
            <v>NO</v>
          </cell>
          <cell r="I749" t="str">
            <v>NO</v>
          </cell>
          <cell r="J749" t="str">
            <v>YES</v>
          </cell>
          <cell r="K749" t="str">
            <v>NO</v>
          </cell>
          <cell r="L749" t="str">
            <v>NO</v>
          </cell>
          <cell r="M749" t="str">
            <v>YES</v>
          </cell>
          <cell r="N749" t="str">
            <v>NO</v>
          </cell>
        </row>
        <row r="750">
          <cell r="A750">
            <v>8601</v>
          </cell>
          <cell r="B750">
            <v>570</v>
          </cell>
          <cell r="C750">
            <v>7</v>
          </cell>
          <cell r="D750" t="str">
            <v>NO</v>
          </cell>
          <cell r="E750" t="str">
            <v>YES</v>
          </cell>
          <cell r="F750" t="str">
            <v>NO</v>
          </cell>
          <cell r="G750" t="str">
            <v>NO</v>
          </cell>
          <cell r="H750" t="str">
            <v>NO</v>
          </cell>
          <cell r="I750" t="str">
            <v>NO</v>
          </cell>
          <cell r="J750" t="str">
            <v>YES</v>
          </cell>
          <cell r="K750" t="str">
            <v>NO</v>
          </cell>
          <cell r="L750" t="str">
            <v>NO</v>
          </cell>
          <cell r="M750" t="str">
            <v>YES</v>
          </cell>
          <cell r="N750" t="str">
            <v>NO</v>
          </cell>
        </row>
        <row r="751">
          <cell r="A751">
            <v>8650</v>
          </cell>
          <cell r="B751">
            <v>570</v>
          </cell>
          <cell r="C751">
            <v>7</v>
          </cell>
          <cell r="D751" t="str">
            <v>NO</v>
          </cell>
          <cell r="E751" t="str">
            <v>YES</v>
          </cell>
          <cell r="F751" t="str">
            <v>NO</v>
          </cell>
          <cell r="G751" t="str">
            <v>NO</v>
          </cell>
          <cell r="H751" t="str">
            <v>NO</v>
          </cell>
          <cell r="I751" t="str">
            <v>NO</v>
          </cell>
          <cell r="J751" t="str">
            <v>YES</v>
          </cell>
          <cell r="K751" t="str">
            <v>NO</v>
          </cell>
          <cell r="L751" t="str">
            <v>NO</v>
          </cell>
          <cell r="M751" t="str">
            <v>YES</v>
          </cell>
          <cell r="N751" t="str">
            <v>NO</v>
          </cell>
        </row>
        <row r="752">
          <cell r="A752">
            <v>8670</v>
          </cell>
          <cell r="B752">
            <v>570</v>
          </cell>
          <cell r="C752">
            <v>7</v>
          </cell>
          <cell r="D752" t="str">
            <v>NO</v>
          </cell>
          <cell r="E752" t="str">
            <v>YES</v>
          </cell>
          <cell r="F752" t="str">
            <v>NO</v>
          </cell>
          <cell r="G752" t="str">
            <v>NO</v>
          </cell>
          <cell r="H752" t="str">
            <v>NO</v>
          </cell>
          <cell r="I752" t="str">
            <v>NO</v>
          </cell>
          <cell r="J752" t="str">
            <v>YES</v>
          </cell>
          <cell r="K752" t="str">
            <v>NO</v>
          </cell>
          <cell r="L752" t="str">
            <v>NO</v>
          </cell>
          <cell r="M752" t="str">
            <v>YES</v>
          </cell>
          <cell r="N752" t="str">
            <v>NO</v>
          </cell>
        </row>
        <row r="753">
          <cell r="A753">
            <v>8700</v>
          </cell>
          <cell r="B753">
            <v>570</v>
          </cell>
          <cell r="C753">
            <v>7</v>
          </cell>
          <cell r="D753" t="str">
            <v>NO</v>
          </cell>
          <cell r="E753" t="str">
            <v>YES</v>
          </cell>
          <cell r="F753" t="str">
            <v>NO</v>
          </cell>
          <cell r="G753" t="str">
            <v>NO</v>
          </cell>
          <cell r="H753" t="str">
            <v>NO</v>
          </cell>
          <cell r="I753" t="str">
            <v>NO</v>
          </cell>
          <cell r="J753" t="str">
            <v>YES</v>
          </cell>
          <cell r="K753" t="str">
            <v>NO</v>
          </cell>
          <cell r="L753" t="str">
            <v>NO</v>
          </cell>
          <cell r="M753" t="str">
            <v>YES</v>
          </cell>
          <cell r="N753" t="str">
            <v>NO</v>
          </cell>
        </row>
        <row r="754">
          <cell r="A754">
            <v>8800</v>
          </cell>
          <cell r="B754">
            <v>570</v>
          </cell>
          <cell r="C754">
            <v>7</v>
          </cell>
          <cell r="D754" t="str">
            <v>NO</v>
          </cell>
          <cell r="E754" t="str">
            <v>YES</v>
          </cell>
          <cell r="F754" t="str">
            <v>NO</v>
          </cell>
          <cell r="G754" t="str">
            <v>NO</v>
          </cell>
          <cell r="H754" t="str">
            <v>NO</v>
          </cell>
          <cell r="I754" t="str">
            <v>NO</v>
          </cell>
          <cell r="J754" t="str">
            <v>YES</v>
          </cell>
          <cell r="K754" t="str">
            <v>NO</v>
          </cell>
          <cell r="L754" t="str">
            <v>NO</v>
          </cell>
          <cell r="M754" t="str">
            <v>YES</v>
          </cell>
          <cell r="N754" t="str">
            <v>NO</v>
          </cell>
        </row>
        <row r="755">
          <cell r="A755">
            <v>8801</v>
          </cell>
          <cell r="B755">
            <v>570</v>
          </cell>
          <cell r="C755">
            <v>7</v>
          </cell>
          <cell r="D755" t="str">
            <v>NO</v>
          </cell>
          <cell r="E755" t="str">
            <v>YES</v>
          </cell>
          <cell r="F755" t="str">
            <v>NO</v>
          </cell>
          <cell r="G755" t="str">
            <v>NO</v>
          </cell>
          <cell r="H755" t="str">
            <v>NO</v>
          </cell>
          <cell r="I755" t="str">
            <v>NO</v>
          </cell>
          <cell r="J755" t="str">
            <v>YES</v>
          </cell>
          <cell r="K755" t="str">
            <v>NO</v>
          </cell>
          <cell r="L755" t="str">
            <v>NO</v>
          </cell>
          <cell r="M755" t="str">
            <v>YES</v>
          </cell>
          <cell r="N755" t="str">
            <v>NO</v>
          </cell>
        </row>
        <row r="756">
          <cell r="A756">
            <v>8900</v>
          </cell>
          <cell r="B756">
            <v>570</v>
          </cell>
          <cell r="C756">
            <v>7</v>
          </cell>
          <cell r="D756" t="str">
            <v>NO</v>
          </cell>
          <cell r="E756" t="str">
            <v>YES</v>
          </cell>
          <cell r="F756" t="str">
            <v>NO</v>
          </cell>
          <cell r="G756" t="str">
            <v>NO</v>
          </cell>
          <cell r="H756" t="str">
            <v>NO</v>
          </cell>
          <cell r="I756" t="str">
            <v>NO</v>
          </cell>
          <cell r="J756" t="str">
            <v>YES</v>
          </cell>
          <cell r="K756" t="str">
            <v>NO</v>
          </cell>
          <cell r="L756" t="str">
            <v>NO</v>
          </cell>
          <cell r="M756" t="str">
            <v>YES</v>
          </cell>
          <cell r="N756" t="str">
            <v>NO</v>
          </cell>
        </row>
        <row r="757">
          <cell r="A757">
            <v>8950</v>
          </cell>
          <cell r="B757">
            <v>570</v>
          </cell>
          <cell r="C757">
            <v>7</v>
          </cell>
          <cell r="D757" t="str">
            <v>NO</v>
          </cell>
          <cell r="E757" t="str">
            <v>YES</v>
          </cell>
          <cell r="F757" t="str">
            <v>NO</v>
          </cell>
          <cell r="G757" t="str">
            <v>NO</v>
          </cell>
          <cell r="H757" t="str">
            <v>NO</v>
          </cell>
          <cell r="I757" t="str">
            <v>NO</v>
          </cell>
          <cell r="J757" t="str">
            <v>YES</v>
          </cell>
          <cell r="K757" t="str">
            <v>NO</v>
          </cell>
          <cell r="L757" t="str">
            <v>NO</v>
          </cell>
          <cell r="M757" t="str">
            <v>YES</v>
          </cell>
          <cell r="N757" t="str">
            <v>NO</v>
          </cell>
        </row>
        <row r="758">
          <cell r="A758">
            <v>8970</v>
          </cell>
          <cell r="B758">
            <v>570</v>
          </cell>
          <cell r="C758">
            <v>7</v>
          </cell>
          <cell r="D758" t="str">
            <v>NO</v>
          </cell>
          <cell r="E758" t="str">
            <v>YES</v>
          </cell>
          <cell r="F758" t="str">
            <v>NO</v>
          </cell>
          <cell r="G758" t="str">
            <v>NO</v>
          </cell>
          <cell r="H758" t="str">
            <v>NO</v>
          </cell>
          <cell r="I758" t="str">
            <v>NO</v>
          </cell>
          <cell r="J758" t="str">
            <v>YES</v>
          </cell>
          <cell r="K758" t="str">
            <v>NO</v>
          </cell>
          <cell r="L758" t="str">
            <v>NO</v>
          </cell>
          <cell r="M758" t="str">
            <v>YES</v>
          </cell>
          <cell r="N758" t="str">
            <v>NO</v>
          </cell>
        </row>
        <row r="759">
          <cell r="A759">
            <v>8985</v>
          </cell>
          <cell r="B759">
            <v>570</v>
          </cell>
          <cell r="C759">
            <v>7</v>
          </cell>
          <cell r="D759" t="str">
            <v>NO</v>
          </cell>
          <cell r="E759" t="str">
            <v>YES</v>
          </cell>
          <cell r="F759" t="str">
            <v>NO</v>
          </cell>
          <cell r="G759" t="str">
            <v>NO</v>
          </cell>
          <cell r="H759" t="str">
            <v>NO</v>
          </cell>
          <cell r="I759" t="str">
            <v>NO</v>
          </cell>
          <cell r="J759" t="str">
            <v>YES</v>
          </cell>
          <cell r="K759" t="str">
            <v>NO</v>
          </cell>
          <cell r="L759" t="str">
            <v>NO</v>
          </cell>
          <cell r="M759" t="str">
            <v>YES</v>
          </cell>
          <cell r="N759" t="str">
            <v>NO</v>
          </cell>
        </row>
        <row r="760">
          <cell r="A760">
            <v>9000</v>
          </cell>
          <cell r="B760" t="str">
            <v>NO SERVICE</v>
          </cell>
        </row>
        <row r="761">
          <cell r="A761">
            <v>9004</v>
          </cell>
          <cell r="B761" t="str">
            <v>NO SERVICE</v>
          </cell>
        </row>
        <row r="762">
          <cell r="A762">
            <v>9020</v>
          </cell>
          <cell r="B762" t="str">
            <v>NO SERVICE</v>
          </cell>
        </row>
        <row r="763">
          <cell r="A763">
            <v>9024</v>
          </cell>
          <cell r="B763" t="str">
            <v>NO SERVICE</v>
          </cell>
        </row>
        <row r="764">
          <cell r="A764">
            <v>9030</v>
          </cell>
          <cell r="B764" t="str">
            <v>NO SERVICE</v>
          </cell>
        </row>
        <row r="765">
          <cell r="A765">
            <v>9050</v>
          </cell>
          <cell r="B765" t="str">
            <v>NO SERVICE</v>
          </cell>
        </row>
        <row r="766">
          <cell r="A766">
            <v>9054</v>
          </cell>
          <cell r="B766" t="str">
            <v>NO SERVICE</v>
          </cell>
        </row>
        <row r="767">
          <cell r="A767">
            <v>9060</v>
          </cell>
          <cell r="B767" t="str">
            <v>NO SERVICE</v>
          </cell>
        </row>
        <row r="768">
          <cell r="A768">
            <v>9064</v>
          </cell>
          <cell r="B768" t="str">
            <v>NO SERVICE</v>
          </cell>
        </row>
        <row r="769">
          <cell r="A769">
            <v>9100</v>
          </cell>
          <cell r="B769" t="str">
            <v>NO SERVICE</v>
          </cell>
        </row>
        <row r="770">
          <cell r="A770">
            <v>9125</v>
          </cell>
          <cell r="B770" t="str">
            <v>NO SERVICE</v>
          </cell>
        </row>
        <row r="771">
          <cell r="A771">
            <v>9135</v>
          </cell>
          <cell r="B771" t="str">
            <v>NO SERVICE</v>
          </cell>
        </row>
        <row r="772">
          <cell r="A772">
            <v>9200</v>
          </cell>
          <cell r="B772" t="str">
            <v>NO SERVICE</v>
          </cell>
        </row>
        <row r="773">
          <cell r="A773">
            <v>9225</v>
          </cell>
          <cell r="B773" t="str">
            <v>NO SERVICE</v>
          </cell>
        </row>
        <row r="774">
          <cell r="A774">
            <v>9230</v>
          </cell>
          <cell r="B774" t="str">
            <v>NO SERVICE</v>
          </cell>
        </row>
        <row r="775">
          <cell r="A775">
            <v>9240</v>
          </cell>
          <cell r="B775" t="str">
            <v>NO SERVICE</v>
          </cell>
        </row>
        <row r="776">
          <cell r="A776">
            <v>9270</v>
          </cell>
          <cell r="B776" t="str">
            <v>NO SERVICE</v>
          </cell>
        </row>
        <row r="777">
          <cell r="A777">
            <v>9300</v>
          </cell>
          <cell r="B777" t="str">
            <v>NO SERVICE</v>
          </cell>
        </row>
        <row r="778">
          <cell r="A778">
            <v>9304</v>
          </cell>
          <cell r="B778" t="str">
            <v>NO SERVICE</v>
          </cell>
        </row>
        <row r="779">
          <cell r="A779">
            <v>9325</v>
          </cell>
          <cell r="B779" t="str">
            <v>NO SERVICE</v>
          </cell>
        </row>
        <row r="780">
          <cell r="A780">
            <v>9350</v>
          </cell>
          <cell r="B780" t="str">
            <v>NO SERVICE</v>
          </cell>
        </row>
        <row r="781">
          <cell r="A781">
            <v>9360</v>
          </cell>
          <cell r="B781" t="str">
            <v>NO SERVICE</v>
          </cell>
        </row>
        <row r="782">
          <cell r="A782">
            <v>9370</v>
          </cell>
          <cell r="B782" t="str">
            <v>NO SERVICE</v>
          </cell>
        </row>
        <row r="783">
          <cell r="A783">
            <v>9385</v>
          </cell>
          <cell r="B783" t="str">
            <v>NO SERVICE</v>
          </cell>
        </row>
        <row r="784">
          <cell r="A784">
            <v>9400</v>
          </cell>
          <cell r="B784" t="str">
            <v>NO SERVICE</v>
          </cell>
        </row>
        <row r="785">
          <cell r="A785">
            <v>9500</v>
          </cell>
          <cell r="B785" t="str">
            <v>NO SERVICE</v>
          </cell>
        </row>
        <row r="786">
          <cell r="A786">
            <v>9504</v>
          </cell>
          <cell r="B786" t="str">
            <v>NO SERVICE</v>
          </cell>
        </row>
        <row r="787">
          <cell r="A787">
            <v>9545</v>
          </cell>
          <cell r="B787" t="str">
            <v>NO SERVICE</v>
          </cell>
        </row>
        <row r="788">
          <cell r="A788">
            <v>9555</v>
          </cell>
          <cell r="B788" t="str">
            <v>NO SERVICE</v>
          </cell>
        </row>
        <row r="789">
          <cell r="A789">
            <v>9560</v>
          </cell>
          <cell r="B789" t="str">
            <v>NO SERVICE</v>
          </cell>
        </row>
        <row r="790">
          <cell r="A790">
            <v>9580</v>
          </cell>
          <cell r="B790" t="str">
            <v>NO SERVICE</v>
          </cell>
        </row>
        <row r="791">
          <cell r="A791">
            <v>9600</v>
          </cell>
          <cell r="B791" t="str">
            <v>NO SERVICE</v>
          </cell>
        </row>
        <row r="792">
          <cell r="A792">
            <v>9625</v>
          </cell>
          <cell r="B792" t="str">
            <v>NO SERVICE</v>
          </cell>
        </row>
        <row r="793">
          <cell r="A793">
            <v>9630</v>
          </cell>
          <cell r="B793" t="str">
            <v>NO SERVICE</v>
          </cell>
        </row>
        <row r="794">
          <cell r="A794">
            <v>9650</v>
          </cell>
          <cell r="B794" t="str">
            <v>NO SERVICE</v>
          </cell>
        </row>
        <row r="795">
          <cell r="A795">
            <v>9675</v>
          </cell>
          <cell r="B795" t="str">
            <v>NO SERVICE</v>
          </cell>
        </row>
        <row r="796">
          <cell r="A796">
            <v>9680</v>
          </cell>
          <cell r="B796" t="str">
            <v>NO SERVICE</v>
          </cell>
        </row>
        <row r="797">
          <cell r="A797">
            <v>9700</v>
          </cell>
          <cell r="B797" t="str">
            <v>NO SERVICE</v>
          </cell>
        </row>
        <row r="798">
          <cell r="A798">
            <v>9701</v>
          </cell>
          <cell r="B798" t="str">
            <v>NO SERVICE</v>
          </cell>
        </row>
        <row r="799">
          <cell r="A799">
            <v>9760</v>
          </cell>
          <cell r="B799" t="str">
            <v>NO SERVICE</v>
          </cell>
        </row>
        <row r="800">
          <cell r="A800">
            <v>9800</v>
          </cell>
          <cell r="B800" t="str">
            <v>NO SERVICE</v>
          </cell>
        </row>
        <row r="801">
          <cell r="A801">
            <v>9850</v>
          </cell>
          <cell r="B801" t="str">
            <v>NO SERVICE</v>
          </cell>
        </row>
        <row r="802">
          <cell r="A802">
            <v>9875</v>
          </cell>
          <cell r="B802" t="str">
            <v>NO SERVICE</v>
          </cell>
        </row>
        <row r="803">
          <cell r="A803">
            <v>9880</v>
          </cell>
          <cell r="B803" t="str">
            <v>NO SERVICE</v>
          </cell>
        </row>
        <row r="804">
          <cell r="A804">
            <v>9900</v>
          </cell>
          <cell r="B804" t="str">
            <v>NO SERVICE</v>
          </cell>
        </row>
        <row r="805">
          <cell r="A805">
            <v>9901</v>
          </cell>
          <cell r="B805" t="str">
            <v>NO SERVICE</v>
          </cell>
        </row>
        <row r="806">
          <cell r="A806">
            <v>9904</v>
          </cell>
          <cell r="B806" t="str">
            <v>NO SERVICE</v>
          </cell>
        </row>
        <row r="807">
          <cell r="A807">
            <v>9930</v>
          </cell>
          <cell r="B807" t="str">
            <v>NO SERVICE</v>
          </cell>
        </row>
        <row r="808">
          <cell r="A808">
            <v>9940</v>
          </cell>
          <cell r="B808" t="str">
            <v>NO SERVICE</v>
          </cell>
        </row>
        <row r="809">
          <cell r="A809">
            <v>9950</v>
          </cell>
          <cell r="B809" t="str">
            <v>NO SERVICE</v>
          </cell>
        </row>
        <row r="810">
          <cell r="A810">
            <v>9960</v>
          </cell>
          <cell r="B810" t="str">
            <v>NO SERVICE</v>
          </cell>
        </row>
        <row r="811">
          <cell r="A811">
            <v>9970</v>
          </cell>
          <cell r="B811" t="str">
            <v>NO SERVICE</v>
          </cell>
        </row>
        <row r="812">
          <cell r="A812">
            <v>9980</v>
          </cell>
          <cell r="B812" t="str">
            <v>NO SERVICE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</sheetPr>
  <dimension ref="C1:D9"/>
  <sheetViews>
    <sheetView showGridLines="0" workbookViewId="0">
      <selection activeCell="D14" sqref="D14"/>
    </sheetView>
  </sheetViews>
  <sheetFormatPr baseColWidth="10" defaultRowHeight="15" x14ac:dyDescent="0.25"/>
  <cols>
    <col min="1" max="1" width="5.42578125" customWidth="1"/>
    <col min="2" max="2" width="11.42578125" customWidth="1"/>
    <col min="3" max="3" width="21.42578125" customWidth="1"/>
    <col min="4" max="4" width="30.28515625" customWidth="1"/>
  </cols>
  <sheetData>
    <row r="1" spans="3:4" ht="35.25" customHeight="1" x14ac:dyDescent="0.25"/>
    <row r="3" spans="3:4" ht="15.75" x14ac:dyDescent="0.25">
      <c r="C3" s="1"/>
    </row>
    <row r="5" spans="3:4" ht="15.75" x14ac:dyDescent="0.25">
      <c r="C5" s="2" t="s">
        <v>17</v>
      </c>
      <c r="D5" s="16" t="s">
        <v>118</v>
      </c>
    </row>
    <row r="6" spans="3:4" ht="15.75" x14ac:dyDescent="0.25">
      <c r="C6" s="2" t="s">
        <v>20</v>
      </c>
      <c r="D6" s="17">
        <v>46023</v>
      </c>
    </row>
    <row r="7" spans="3:4" ht="15.75" x14ac:dyDescent="0.25">
      <c r="C7" s="2" t="s">
        <v>19</v>
      </c>
      <c r="D7" s="16"/>
    </row>
    <row r="9" spans="3:4" ht="15.75" x14ac:dyDescent="0.25">
      <c r="C9" s="2" t="s">
        <v>44</v>
      </c>
      <c r="D9" s="17">
        <v>46387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E9EF-8FAD-415D-8285-4EDF2B7FC6FC}">
  <sheetPr>
    <tabColor rgb="FF8CE1FC"/>
    <pageSetUpPr fitToPage="1"/>
  </sheetPr>
  <dimension ref="A1:V94"/>
  <sheetViews>
    <sheetView showGridLines="0" topLeftCell="A7" zoomScale="85" zoomScaleNormal="85" zoomScaleSheetLayoutView="90" workbookViewId="0">
      <selection activeCell="Q23" sqref="Q23"/>
    </sheetView>
  </sheetViews>
  <sheetFormatPr baseColWidth="10" defaultColWidth="11.42578125" defaultRowHeight="14.25" x14ac:dyDescent="0.2"/>
  <cols>
    <col min="1" max="1" width="2.140625" style="30" customWidth="1"/>
    <col min="2" max="2" width="6.42578125" style="61" customWidth="1"/>
    <col min="3" max="3" width="11.28515625" style="30" customWidth="1"/>
    <col min="4" max="20" width="11.5703125" style="30" customWidth="1"/>
    <col min="21" max="21" width="10.140625" style="30" customWidth="1"/>
    <col min="22" max="22" width="7.5703125" style="30" customWidth="1"/>
    <col min="23" max="30" width="10" style="30" customWidth="1"/>
    <col min="31" max="16384" width="11.42578125" style="30"/>
  </cols>
  <sheetData>
    <row r="1" spans="1:22" ht="15" customHeight="1" x14ac:dyDescent="0.2"/>
    <row r="2" spans="1:22" s="31" customFormat="1" ht="13.5" customHeight="1" x14ac:dyDescent="0.4">
      <c r="B2" s="48"/>
      <c r="C2" s="73"/>
      <c r="D2" s="73"/>
      <c r="E2" s="73"/>
      <c r="F2" s="73"/>
      <c r="G2" s="32"/>
      <c r="H2" s="32"/>
      <c r="I2" s="32"/>
      <c r="J2" s="74"/>
      <c r="K2" s="74"/>
      <c r="L2" s="74"/>
      <c r="O2" s="74"/>
      <c r="P2" s="74"/>
      <c r="Q2" s="33"/>
      <c r="R2" s="30"/>
      <c r="S2" s="30"/>
      <c r="T2" s="30"/>
      <c r="U2" s="30"/>
      <c r="V2" s="30"/>
    </row>
    <row r="3" spans="1:22" s="31" customFormat="1" ht="20.25" customHeight="1" thickBot="1" x14ac:dyDescent="0.45">
      <c r="B3" s="48"/>
      <c r="C3" s="32"/>
      <c r="D3" s="32"/>
      <c r="E3" s="32"/>
      <c r="F3" s="32"/>
      <c r="G3" s="32"/>
      <c r="H3" s="32"/>
      <c r="I3" s="32"/>
      <c r="J3" s="75"/>
      <c r="K3" s="75"/>
      <c r="L3" s="75"/>
      <c r="O3" s="71"/>
      <c r="P3" s="72"/>
      <c r="Q3" s="71"/>
      <c r="R3" s="72"/>
      <c r="S3" s="71"/>
      <c r="T3" s="72"/>
      <c r="U3" s="34"/>
      <c r="V3" s="30"/>
    </row>
    <row r="4" spans="1:22" s="31" customFormat="1" ht="21.75" customHeight="1" thickTop="1" thickBot="1" x14ac:dyDescent="0.45">
      <c r="B4" s="48"/>
      <c r="C4" s="32"/>
      <c r="D4" s="32"/>
      <c r="E4" s="32"/>
      <c r="F4" s="32"/>
      <c r="G4" s="32"/>
      <c r="H4" s="32"/>
      <c r="I4" s="32"/>
      <c r="J4" s="74"/>
      <c r="K4" s="74"/>
      <c r="L4" s="74"/>
      <c r="O4" s="84"/>
      <c r="P4" s="84"/>
      <c r="Q4" s="85" t="str">
        <f>'Datos Cliente'!D5</f>
        <v>PLANTASUR 2026</v>
      </c>
      <c r="R4" s="85"/>
      <c r="S4" s="85"/>
      <c r="T4" s="85"/>
      <c r="U4" s="34"/>
      <c r="V4" s="30"/>
    </row>
    <row r="5" spans="1:22" s="31" customFormat="1" ht="21" customHeight="1" thickTop="1" thickBot="1" x14ac:dyDescent="0.45">
      <c r="B5" s="48"/>
      <c r="C5" s="32"/>
      <c r="D5" s="32"/>
      <c r="E5" s="32"/>
      <c r="F5" s="32"/>
      <c r="L5" s="33"/>
      <c r="M5" s="33"/>
      <c r="N5" s="33"/>
      <c r="O5" s="35"/>
      <c r="P5" s="35"/>
      <c r="Q5" s="85">
        <f>'Datos Cliente'!D6</f>
        <v>46023</v>
      </c>
      <c r="R5" s="85"/>
      <c r="S5" s="85"/>
      <c r="T5" s="85"/>
      <c r="U5" s="34"/>
      <c r="V5" s="30"/>
    </row>
    <row r="6" spans="1:22" s="31" customFormat="1" ht="21" customHeight="1" thickTop="1" thickBot="1" x14ac:dyDescent="0.45">
      <c r="B6" s="48"/>
      <c r="C6" s="32"/>
      <c r="D6" s="32"/>
      <c r="E6" s="32"/>
      <c r="F6" s="32"/>
      <c r="O6" s="36"/>
      <c r="P6" s="36"/>
      <c r="Q6" s="86">
        <f>'Datos Cliente'!D7</f>
        <v>0</v>
      </c>
      <c r="R6" s="86"/>
      <c r="S6" s="86"/>
      <c r="T6" s="86"/>
      <c r="U6" s="34"/>
      <c r="V6" s="30"/>
    </row>
    <row r="7" spans="1:22" ht="15.75" customHeight="1" thickTop="1" x14ac:dyDescent="0.2">
      <c r="C7" s="37"/>
      <c r="D7" s="37"/>
      <c r="E7" s="38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</row>
    <row r="8" spans="1:22" s="61" customFormat="1" ht="15.75" customHeight="1" x14ac:dyDescent="0.2">
      <c r="C8" s="62"/>
      <c r="D8" s="63" t="s">
        <v>16</v>
      </c>
      <c r="E8" s="63" t="s">
        <v>15</v>
      </c>
      <c r="F8" s="64" t="s">
        <v>34</v>
      </c>
      <c r="G8" s="64" t="s">
        <v>23</v>
      </c>
      <c r="H8" s="64" t="s">
        <v>14</v>
      </c>
      <c r="I8" s="64" t="s">
        <v>21</v>
      </c>
      <c r="J8" s="64" t="s">
        <v>21</v>
      </c>
      <c r="K8" s="64" t="s">
        <v>21</v>
      </c>
      <c r="L8" s="64" t="s">
        <v>89</v>
      </c>
      <c r="M8" s="64" t="s">
        <v>89</v>
      </c>
      <c r="N8" s="64" t="s">
        <v>89</v>
      </c>
      <c r="O8" s="64" t="s">
        <v>89</v>
      </c>
      <c r="P8" s="64" t="s">
        <v>89</v>
      </c>
      <c r="Q8" s="64" t="s">
        <v>13</v>
      </c>
      <c r="R8" s="64" t="s">
        <v>13</v>
      </c>
      <c r="S8" s="64" t="s">
        <v>13</v>
      </c>
      <c r="T8" s="64" t="s">
        <v>13</v>
      </c>
      <c r="U8" s="64" t="s">
        <v>13</v>
      </c>
    </row>
    <row r="9" spans="1:22" ht="24.75" customHeight="1" x14ac:dyDescent="0.2">
      <c r="C9" s="40"/>
      <c r="D9" s="41" t="s">
        <v>24</v>
      </c>
      <c r="E9" s="42" t="s">
        <v>25</v>
      </c>
      <c r="F9" s="41" t="s">
        <v>22</v>
      </c>
      <c r="G9" s="41" t="s">
        <v>26</v>
      </c>
      <c r="H9" s="78" t="s">
        <v>27</v>
      </c>
      <c r="I9" s="79"/>
      <c r="J9" s="80"/>
      <c r="K9" s="81" t="s">
        <v>88</v>
      </c>
      <c r="L9" s="81"/>
      <c r="M9" s="81"/>
      <c r="N9" s="81"/>
      <c r="O9" s="81"/>
      <c r="P9" s="81" t="s">
        <v>28</v>
      </c>
      <c r="Q9" s="81"/>
      <c r="R9" s="81"/>
      <c r="S9" s="81"/>
      <c r="T9" s="81"/>
    </row>
    <row r="10" spans="1:22" ht="17.25" customHeight="1" x14ac:dyDescent="0.2">
      <c r="C10" s="43"/>
      <c r="D10" s="44">
        <v>1</v>
      </c>
      <c r="E10" s="44">
        <v>1</v>
      </c>
      <c r="F10" s="44">
        <v>1</v>
      </c>
      <c r="G10" s="44">
        <v>1</v>
      </c>
      <c r="H10" s="44">
        <v>1</v>
      </c>
      <c r="I10" s="44">
        <v>2</v>
      </c>
      <c r="J10" s="44">
        <v>3</v>
      </c>
      <c r="K10" s="44">
        <v>1</v>
      </c>
      <c r="L10" s="44">
        <v>2</v>
      </c>
      <c r="M10" s="44">
        <v>3</v>
      </c>
      <c r="N10" s="44">
        <v>4</v>
      </c>
      <c r="O10" s="44">
        <v>5</v>
      </c>
      <c r="P10" s="44">
        <v>1</v>
      </c>
      <c r="Q10" s="44">
        <v>2</v>
      </c>
      <c r="R10" s="44">
        <v>3</v>
      </c>
      <c r="S10" s="44">
        <v>4</v>
      </c>
      <c r="T10" s="44">
        <v>5</v>
      </c>
    </row>
    <row r="11" spans="1:22" x14ac:dyDescent="0.2">
      <c r="C11" s="40"/>
      <c r="D11" s="45" t="s">
        <v>12</v>
      </c>
      <c r="E11" s="45" t="s">
        <v>12</v>
      </c>
      <c r="F11" s="45" t="s">
        <v>12</v>
      </c>
      <c r="G11" s="45" t="s">
        <v>12</v>
      </c>
      <c r="H11" s="45" t="s">
        <v>12</v>
      </c>
      <c r="I11" s="45" t="s">
        <v>12</v>
      </c>
      <c r="J11" s="45" t="s">
        <v>12</v>
      </c>
      <c r="K11" s="45" t="s">
        <v>12</v>
      </c>
      <c r="L11" s="45" t="s">
        <v>12</v>
      </c>
      <c r="M11" s="45" t="s">
        <v>12</v>
      </c>
      <c r="N11" s="45" t="s">
        <v>12</v>
      </c>
      <c r="O11" s="45" t="s">
        <v>12</v>
      </c>
      <c r="P11" s="45" t="s">
        <v>12</v>
      </c>
      <c r="Q11" s="45" t="s">
        <v>12</v>
      </c>
      <c r="R11" s="45" t="s">
        <v>12</v>
      </c>
      <c r="S11" s="45" t="s">
        <v>12</v>
      </c>
      <c r="T11" s="45" t="s">
        <v>12</v>
      </c>
    </row>
    <row r="12" spans="1:22" ht="17.25" customHeight="1" x14ac:dyDescent="0.2">
      <c r="A12" s="35"/>
      <c r="B12" s="65">
        <v>31</v>
      </c>
      <c r="C12" s="46" t="s">
        <v>108</v>
      </c>
      <c r="D12" s="70">
        <v>37.073549999999997</v>
      </c>
      <c r="E12" s="70">
        <v>39.391950000000001</v>
      </c>
      <c r="F12" s="70">
        <v>44.861350000000002</v>
      </c>
      <c r="G12" s="70">
        <v>46.186149999999998</v>
      </c>
      <c r="H12" s="70">
        <v>47.662999999999997</v>
      </c>
      <c r="I12" s="70">
        <v>45.924199999999999</v>
      </c>
      <c r="J12" s="70">
        <v>44.765000000000001</v>
      </c>
      <c r="K12" s="70">
        <v>49.660600000000002</v>
      </c>
      <c r="L12" s="70">
        <v>47.877650000000003</v>
      </c>
      <c r="M12" s="70">
        <v>46.706599999999995</v>
      </c>
      <c r="N12" s="70">
        <v>46.126350000000002</v>
      </c>
      <c r="O12" s="70">
        <v>45.524999999999999</v>
      </c>
      <c r="P12" s="70">
        <v>51.061</v>
      </c>
      <c r="Q12" s="70">
        <v>49.322200000000002</v>
      </c>
      <c r="R12" s="70">
        <v>48.162999999999997</v>
      </c>
      <c r="S12" s="70">
        <v>47.573050000000002</v>
      </c>
      <c r="T12" s="70">
        <v>47.014150000000001</v>
      </c>
      <c r="U12" s="46" t="s">
        <v>108</v>
      </c>
    </row>
    <row r="13" spans="1:22" ht="17.25" customHeight="1" x14ac:dyDescent="0.2">
      <c r="B13" s="65">
        <v>32</v>
      </c>
      <c r="C13" s="46" t="s">
        <v>109</v>
      </c>
      <c r="D13" s="70">
        <v>38.708849999999998</v>
      </c>
      <c r="E13" s="70">
        <v>42.33135</v>
      </c>
      <c r="F13" s="70">
        <v>48.690849999999998</v>
      </c>
      <c r="G13" s="70">
        <v>51.154150000000001</v>
      </c>
      <c r="H13" s="70">
        <v>51.627049999999997</v>
      </c>
      <c r="I13" s="70">
        <v>49.815799999999996</v>
      </c>
      <c r="J13" s="70">
        <v>48.615200000000002</v>
      </c>
      <c r="K13" s="70">
        <v>53.753999999999998</v>
      </c>
      <c r="L13" s="70">
        <v>51.90775</v>
      </c>
      <c r="M13" s="70">
        <v>50.673400000000001</v>
      </c>
      <c r="N13" s="70">
        <v>50.05095</v>
      </c>
      <c r="O13" s="70">
        <v>49.449599999999997</v>
      </c>
      <c r="P13" s="70">
        <v>55.159599999999998</v>
      </c>
      <c r="Q13" s="70">
        <v>53.338000000000001</v>
      </c>
      <c r="R13" s="70">
        <v>52.127049999999997</v>
      </c>
      <c r="S13" s="70">
        <v>51.52675</v>
      </c>
      <c r="T13" s="70">
        <v>50.9161</v>
      </c>
      <c r="U13" s="46" t="s">
        <v>109</v>
      </c>
    </row>
    <row r="14" spans="1:22" ht="17.25" customHeight="1" x14ac:dyDescent="0.2">
      <c r="B14" s="65">
        <v>33</v>
      </c>
      <c r="C14" s="46" t="s">
        <v>110</v>
      </c>
      <c r="D14" s="70">
        <v>39.692099999999996</v>
      </c>
      <c r="E14" s="70">
        <v>44.442749999999997</v>
      </c>
      <c r="F14" s="70">
        <v>50.750500000000002</v>
      </c>
      <c r="G14" s="70">
        <v>53.193100000000001</v>
      </c>
      <c r="H14" s="70">
        <v>54.245599999999996</v>
      </c>
      <c r="I14" s="70">
        <v>52.444699999999997</v>
      </c>
      <c r="J14" s="70">
        <v>51.275149999999996</v>
      </c>
      <c r="K14" s="70">
        <v>56.992849999999997</v>
      </c>
      <c r="L14" s="70">
        <v>55.188800000000001</v>
      </c>
      <c r="M14" s="70">
        <v>53.975549999999998</v>
      </c>
      <c r="N14" s="70">
        <v>53.353099999999998</v>
      </c>
      <c r="O14" s="70">
        <v>52.762299999999996</v>
      </c>
      <c r="P14" s="70">
        <v>58.295649999999995</v>
      </c>
      <c r="Q14" s="70">
        <v>56.515450000000001</v>
      </c>
      <c r="R14" s="70">
        <v>55.325199999999995</v>
      </c>
      <c r="S14" s="70">
        <v>54.745599999999996</v>
      </c>
      <c r="T14" s="70">
        <v>54.134949999999996</v>
      </c>
      <c r="U14" s="46" t="s">
        <v>110</v>
      </c>
    </row>
    <row r="15" spans="1:22" ht="17.25" customHeight="1" x14ac:dyDescent="0.2">
      <c r="B15" s="65">
        <v>34</v>
      </c>
      <c r="C15" s="46" t="s">
        <v>111</v>
      </c>
      <c r="D15" s="70">
        <v>41.389499999999998</v>
      </c>
      <c r="E15" s="70">
        <v>46.326449999999994</v>
      </c>
      <c r="F15" s="70">
        <v>52.592799999999997</v>
      </c>
      <c r="G15" s="70">
        <v>55.242399999999996</v>
      </c>
      <c r="H15" s="70">
        <v>57.578299999999999</v>
      </c>
      <c r="I15" s="70">
        <v>55.725650000000002</v>
      </c>
      <c r="J15" s="70">
        <v>54.494</v>
      </c>
      <c r="K15" s="70">
        <v>60.463799999999999</v>
      </c>
      <c r="L15" s="70">
        <v>58.585899999999995</v>
      </c>
      <c r="M15" s="70">
        <v>57.330449999999999</v>
      </c>
      <c r="N15" s="70">
        <v>56.697449999999996</v>
      </c>
      <c r="O15" s="70">
        <v>56.074999999999996</v>
      </c>
      <c r="P15" s="70">
        <v>61.773249999999997</v>
      </c>
      <c r="Q15" s="70">
        <v>59.9206</v>
      </c>
      <c r="R15" s="70">
        <v>58.688949999999998</v>
      </c>
      <c r="S15" s="70">
        <v>58.078299999999999</v>
      </c>
      <c r="T15" s="70">
        <v>57.457299999999996</v>
      </c>
      <c r="U15" s="46" t="s">
        <v>111</v>
      </c>
    </row>
    <row r="16" spans="1:22" ht="17.25" customHeight="1" x14ac:dyDescent="0.2">
      <c r="B16" s="65">
        <v>35</v>
      </c>
      <c r="C16" s="46" t="s">
        <v>112</v>
      </c>
      <c r="D16" s="70">
        <v>42.807450000000003</v>
      </c>
      <c r="E16" s="70">
        <v>47.599499999999999</v>
      </c>
      <c r="F16" s="70">
        <v>54.414400000000001</v>
      </c>
      <c r="G16" s="70">
        <v>57.591850000000001</v>
      </c>
      <c r="H16" s="70">
        <v>59.8553</v>
      </c>
      <c r="I16" s="70">
        <v>58.054400000000001</v>
      </c>
      <c r="J16" s="70">
        <v>56.8538</v>
      </c>
      <c r="K16" s="70">
        <v>62.742599999999996</v>
      </c>
      <c r="L16" s="70">
        <v>60.9069</v>
      </c>
      <c r="M16" s="70">
        <v>59.683100000000003</v>
      </c>
      <c r="N16" s="70">
        <v>59.071199999999997</v>
      </c>
      <c r="O16" s="70">
        <v>58.459299999999999</v>
      </c>
      <c r="P16" s="70">
        <v>63.946750000000002</v>
      </c>
      <c r="Q16" s="70">
        <v>62.156199999999998</v>
      </c>
      <c r="R16" s="70">
        <v>60.955599999999997</v>
      </c>
      <c r="S16" s="70">
        <v>60.3553</v>
      </c>
      <c r="T16" s="70">
        <v>59.754999999999995</v>
      </c>
      <c r="U16" s="46" t="s">
        <v>112</v>
      </c>
    </row>
    <row r="17" spans="2:21" ht="17.25" customHeight="1" x14ac:dyDescent="0.2">
      <c r="B17" s="65">
        <v>1</v>
      </c>
      <c r="C17" s="46" t="s">
        <v>0</v>
      </c>
      <c r="D17" s="70">
        <v>39.4816</v>
      </c>
      <c r="E17" s="70">
        <v>41.81035</v>
      </c>
      <c r="F17" s="70">
        <v>53.677149999999997</v>
      </c>
      <c r="G17" s="70">
        <v>58.527349999999998</v>
      </c>
      <c r="H17" s="70">
        <v>58.606949999999998</v>
      </c>
      <c r="I17" s="70">
        <v>56.86815</v>
      </c>
      <c r="J17" s="70">
        <v>55.108649999999997</v>
      </c>
      <c r="K17" s="70">
        <v>61.896099999999997</v>
      </c>
      <c r="L17" s="70">
        <v>60.123699999999999</v>
      </c>
      <c r="M17" s="70">
        <v>58.330199999999998</v>
      </c>
      <c r="N17" s="70">
        <v>57.749949999999998</v>
      </c>
      <c r="O17" s="70">
        <v>57.148600000000002</v>
      </c>
      <c r="P17" s="70">
        <v>63.1952</v>
      </c>
      <c r="Q17" s="70">
        <v>61.435699999999997</v>
      </c>
      <c r="R17" s="70">
        <v>59.696899999999999</v>
      </c>
      <c r="S17" s="70">
        <v>59.106949999999998</v>
      </c>
      <c r="T17" s="70">
        <v>58.527349999999998</v>
      </c>
      <c r="U17" s="46" t="s">
        <v>0</v>
      </c>
    </row>
    <row r="18" spans="2:21" ht="17.25" customHeight="1" x14ac:dyDescent="0.2">
      <c r="B18" s="65">
        <v>2</v>
      </c>
      <c r="C18" s="46" t="s">
        <v>1</v>
      </c>
      <c r="D18" s="70">
        <v>40.651150000000001</v>
      </c>
      <c r="E18" s="70">
        <v>42.979900000000001</v>
      </c>
      <c r="F18" s="70">
        <v>54.846699999999998</v>
      </c>
      <c r="G18" s="70">
        <v>59.696899999999999</v>
      </c>
      <c r="H18" s="70">
        <v>59.776499999999999</v>
      </c>
      <c r="I18" s="70">
        <v>58.027349999999998</v>
      </c>
      <c r="J18" s="70">
        <v>56.278199999999998</v>
      </c>
      <c r="K18" s="70">
        <v>65.461999999999989</v>
      </c>
      <c r="L18" s="70">
        <v>63.689599999999999</v>
      </c>
      <c r="M18" s="70">
        <v>60.714500000000001</v>
      </c>
      <c r="N18" s="70">
        <v>60.123699999999999</v>
      </c>
      <c r="O18" s="70">
        <v>59.522350000000003</v>
      </c>
      <c r="P18" s="70">
        <v>66.683149999999998</v>
      </c>
      <c r="Q18" s="70">
        <v>64.933999999999997</v>
      </c>
      <c r="R18" s="70">
        <v>62.025649999999999</v>
      </c>
      <c r="S18" s="70">
        <v>61.435699999999997</v>
      </c>
      <c r="T18" s="70">
        <v>60.856099999999998</v>
      </c>
      <c r="U18" s="46" t="s">
        <v>1</v>
      </c>
    </row>
    <row r="19" spans="2:21" ht="17.25" customHeight="1" x14ac:dyDescent="0.2">
      <c r="B19" s="65">
        <v>3</v>
      </c>
      <c r="C19" s="46" t="s">
        <v>2</v>
      </c>
      <c r="D19" s="70">
        <v>41.996650000000002</v>
      </c>
      <c r="E19" s="70">
        <v>44.325400000000002</v>
      </c>
      <c r="F19" s="70">
        <v>56.709699999999998</v>
      </c>
      <c r="G19" s="70">
        <v>62.201599999999999</v>
      </c>
      <c r="H19" s="70">
        <v>62.87115</v>
      </c>
      <c r="I19" s="70">
        <v>61.111649999999997</v>
      </c>
      <c r="J19" s="70">
        <v>60.542400000000001</v>
      </c>
      <c r="K19" s="70">
        <v>69.207250000000002</v>
      </c>
      <c r="L19" s="70">
        <v>67.434849999999997</v>
      </c>
      <c r="M19" s="70">
        <v>64.44919999999999</v>
      </c>
      <c r="N19" s="70">
        <v>63.868949999999998</v>
      </c>
      <c r="O19" s="70">
        <v>63.267600000000002</v>
      </c>
      <c r="P19" s="70">
        <v>70.357399999999998</v>
      </c>
      <c r="Q19" s="70">
        <v>68.608249999999998</v>
      </c>
      <c r="R19" s="70">
        <v>65.6999</v>
      </c>
      <c r="S19" s="70">
        <v>65.109949999999998</v>
      </c>
      <c r="T19" s="70">
        <v>64.530349999999999</v>
      </c>
      <c r="U19" s="46" t="s">
        <v>2</v>
      </c>
    </row>
    <row r="20" spans="2:21" ht="17.25" customHeight="1" x14ac:dyDescent="0.2">
      <c r="B20" s="65">
        <v>4</v>
      </c>
      <c r="C20" s="46" t="s">
        <v>3</v>
      </c>
      <c r="D20" s="70">
        <v>45.4846</v>
      </c>
      <c r="E20" s="70">
        <v>47.823700000000002</v>
      </c>
      <c r="F20" s="70">
        <v>59.742249999999999</v>
      </c>
      <c r="G20" s="70">
        <v>64.530349999999999</v>
      </c>
      <c r="H20" s="70">
        <v>68.108249999999998</v>
      </c>
      <c r="I20" s="70">
        <v>66.369450000000001</v>
      </c>
      <c r="J20" s="70">
        <v>65.779499999999999</v>
      </c>
      <c r="K20" s="70">
        <v>76.328499999999991</v>
      </c>
      <c r="L20" s="70">
        <v>74.556100000000001</v>
      </c>
      <c r="M20" s="70">
        <v>70.990200000000002</v>
      </c>
      <c r="N20" s="70">
        <v>70.388849999999991</v>
      </c>
      <c r="O20" s="70">
        <v>69.798049999999989</v>
      </c>
      <c r="P20" s="70">
        <v>77.353999999999985</v>
      </c>
      <c r="Q20" s="70">
        <v>75.594499999999996</v>
      </c>
      <c r="R20" s="70">
        <v>72.106549999999999</v>
      </c>
      <c r="S20" s="70">
        <v>71.526949999999999</v>
      </c>
      <c r="T20" s="70">
        <v>70.936999999999998</v>
      </c>
      <c r="U20" s="46" t="s">
        <v>3</v>
      </c>
    </row>
    <row r="21" spans="2:21" ht="17.25" customHeight="1" x14ac:dyDescent="0.2">
      <c r="B21" s="65">
        <v>5</v>
      </c>
      <c r="C21" s="46" t="s">
        <v>4</v>
      </c>
      <c r="D21" s="70">
        <v>47.616700000000002</v>
      </c>
      <c r="E21" s="70">
        <v>49.997199999999999</v>
      </c>
      <c r="F21" s="70">
        <v>62.205550000000002</v>
      </c>
      <c r="G21" s="70">
        <v>67.418000000000006</v>
      </c>
      <c r="H21" s="70">
        <v>71.66865</v>
      </c>
      <c r="I21" s="70">
        <v>69.878099999999989</v>
      </c>
      <c r="J21" s="70">
        <v>69.288150000000002</v>
      </c>
      <c r="K21" s="70">
        <v>81.308099999999996</v>
      </c>
      <c r="L21" s="70">
        <v>79.482949999999988</v>
      </c>
      <c r="M21" s="70">
        <v>74.651049999999998</v>
      </c>
      <c r="N21" s="70">
        <v>74.049700000000001</v>
      </c>
      <c r="O21" s="70">
        <v>73.437799999999996</v>
      </c>
      <c r="P21" s="70">
        <v>82.860199999999992</v>
      </c>
      <c r="Q21" s="70">
        <v>81.069649999999996</v>
      </c>
      <c r="R21" s="70">
        <v>76.318999999999988</v>
      </c>
      <c r="S21" s="70">
        <v>75.739400000000003</v>
      </c>
      <c r="T21" s="70">
        <v>75.139099999999985</v>
      </c>
      <c r="U21" s="46" t="s">
        <v>4</v>
      </c>
    </row>
    <row r="22" spans="2:21" ht="17.25" customHeight="1" x14ac:dyDescent="0.2">
      <c r="B22" s="65">
        <v>6</v>
      </c>
      <c r="C22" s="46" t="s">
        <v>5</v>
      </c>
      <c r="D22" s="70">
        <v>48.806950000000001</v>
      </c>
      <c r="E22" s="70">
        <v>52.957299999999996</v>
      </c>
      <c r="F22" s="70">
        <v>66.345550000000003</v>
      </c>
      <c r="G22" s="70">
        <v>73.358900000000006</v>
      </c>
      <c r="H22" s="70">
        <v>77.599199999999996</v>
      </c>
      <c r="I22" s="70">
        <v>75.818999999999988</v>
      </c>
      <c r="J22" s="70">
        <v>75.239400000000003</v>
      </c>
      <c r="K22" s="70">
        <v>90.381100000000004</v>
      </c>
      <c r="L22" s="70">
        <v>87.954599999999999</v>
      </c>
      <c r="M22" s="70">
        <v>84.947849999999988</v>
      </c>
      <c r="N22" s="70">
        <v>83.7346</v>
      </c>
      <c r="O22" s="70">
        <v>82.521349999999998</v>
      </c>
      <c r="P22" s="70">
        <v>94.731650000000002</v>
      </c>
      <c r="Q22" s="70">
        <v>92.361499999999992</v>
      </c>
      <c r="R22" s="70">
        <v>89.38069999999999</v>
      </c>
      <c r="S22" s="70">
        <v>88.190449999999998</v>
      </c>
      <c r="T22" s="70">
        <v>87.000199999999992</v>
      </c>
      <c r="U22" s="46" t="s">
        <v>5</v>
      </c>
    </row>
    <row r="23" spans="2:21" ht="17.25" customHeight="1" x14ac:dyDescent="0.2">
      <c r="B23" s="65">
        <v>7</v>
      </c>
      <c r="C23" s="46" t="s">
        <v>6</v>
      </c>
      <c r="D23" s="70">
        <v>49.572850000000003</v>
      </c>
      <c r="E23" s="70">
        <v>53.6404</v>
      </c>
      <c r="F23" s="70">
        <v>70.226799999999997</v>
      </c>
      <c r="G23" s="70">
        <v>82.011499999999998</v>
      </c>
      <c r="H23" s="70">
        <v>87.918149999999997</v>
      </c>
      <c r="I23" s="70">
        <v>86.168999999999997</v>
      </c>
      <c r="J23" s="70">
        <v>85.579049999999995</v>
      </c>
      <c r="K23" s="70">
        <v>102.46084999999999</v>
      </c>
      <c r="L23" s="70">
        <v>100.08709999999999</v>
      </c>
      <c r="M23" s="70">
        <v>97.12254999999999</v>
      </c>
      <c r="N23" s="70">
        <v>95.940949999999987</v>
      </c>
      <c r="O23" s="70">
        <v>94.748799999999989</v>
      </c>
      <c r="P23" s="70">
        <v>106.4789</v>
      </c>
      <c r="Q23" s="70">
        <v>104.15015</v>
      </c>
      <c r="R23" s="70">
        <v>101.23145</v>
      </c>
      <c r="S23" s="70">
        <v>100.07225</v>
      </c>
      <c r="T23" s="70">
        <v>98.902699999999996</v>
      </c>
      <c r="U23" s="46" t="s">
        <v>6</v>
      </c>
    </row>
    <row r="24" spans="2:21" ht="17.25" customHeight="1" x14ac:dyDescent="0.2">
      <c r="B24" s="65">
        <v>8</v>
      </c>
      <c r="C24" s="46" t="s">
        <v>7</v>
      </c>
      <c r="D24" s="70">
        <v>57.273249999999997</v>
      </c>
      <c r="E24" s="70">
        <v>65.035750000000007</v>
      </c>
      <c r="F24" s="70">
        <v>84.406299999999987</v>
      </c>
      <c r="G24" s="70">
        <v>100.39309999999999</v>
      </c>
      <c r="H24" s="70">
        <v>114.21749999999999</v>
      </c>
      <c r="I24" s="70">
        <v>112.42694999999999</v>
      </c>
      <c r="J24" s="70">
        <v>111.82664999999999</v>
      </c>
      <c r="K24" s="70">
        <v>138.09875</v>
      </c>
      <c r="L24" s="70">
        <v>135.67224999999999</v>
      </c>
      <c r="M24" s="70">
        <v>131.39949999999999</v>
      </c>
      <c r="N24" s="70">
        <v>130.18624999999997</v>
      </c>
      <c r="O24" s="70">
        <v>128.97299999999998</v>
      </c>
      <c r="P24" s="70">
        <v>139.77484999999999</v>
      </c>
      <c r="Q24" s="70">
        <v>136.78369999999998</v>
      </c>
      <c r="R24" s="70">
        <v>133.81324999999998</v>
      </c>
      <c r="S24" s="70">
        <v>132.61265</v>
      </c>
      <c r="T24" s="70">
        <v>131.42239999999998</v>
      </c>
      <c r="U24" s="46" t="s">
        <v>7</v>
      </c>
    </row>
    <row r="25" spans="2:21" ht="17.25" customHeight="1" x14ac:dyDescent="0.2">
      <c r="B25" s="65">
        <v>9</v>
      </c>
      <c r="C25" s="46" t="s">
        <v>8</v>
      </c>
      <c r="D25" s="70">
        <v>77.799750000000003</v>
      </c>
      <c r="E25" s="70">
        <v>93.728399999999993</v>
      </c>
      <c r="F25" s="70">
        <v>117.19114999999999</v>
      </c>
      <c r="G25" s="70">
        <v>140.91974999999996</v>
      </c>
      <c r="H25" s="70">
        <v>153.60565</v>
      </c>
      <c r="I25" s="70">
        <v>151.94964999999999</v>
      </c>
      <c r="J25" s="70">
        <v>151.40109999999999</v>
      </c>
      <c r="K25" s="70">
        <v>180.96114999999998</v>
      </c>
      <c r="L25" s="70">
        <v>178.15485000000001</v>
      </c>
      <c r="M25" s="70">
        <v>175.91825</v>
      </c>
      <c r="N25" s="70">
        <v>173.1225</v>
      </c>
      <c r="O25" s="70">
        <v>170.88589999999999</v>
      </c>
      <c r="P25" s="70">
        <v>210.66840000000002</v>
      </c>
      <c r="Q25" s="70">
        <v>207.36675000000002</v>
      </c>
      <c r="R25" s="70">
        <v>204.62399999999997</v>
      </c>
      <c r="S25" s="70">
        <v>201.32234999999997</v>
      </c>
      <c r="T25" s="70">
        <v>198.03104999999999</v>
      </c>
      <c r="U25" s="46" t="s">
        <v>8</v>
      </c>
    </row>
    <row r="26" spans="2:21" ht="17.25" customHeight="1" x14ac:dyDescent="0.2">
      <c r="B26" s="65">
        <v>10</v>
      </c>
      <c r="C26" s="46" t="s">
        <v>9</v>
      </c>
      <c r="D26" s="70">
        <v>79.993949999999998</v>
      </c>
      <c r="E26" s="70">
        <v>96.471149999999994</v>
      </c>
      <c r="F26" s="70">
        <v>119.93389999999999</v>
      </c>
      <c r="G26" s="70">
        <v>143.66249999999999</v>
      </c>
      <c r="H26" s="70">
        <v>160.18824999999998</v>
      </c>
      <c r="I26" s="70">
        <v>157.99404999999999</v>
      </c>
      <c r="J26" s="70">
        <v>157.44549999999998</v>
      </c>
      <c r="K26" s="70">
        <v>193.27299999999997</v>
      </c>
      <c r="L26" s="70">
        <v>190.47724999999997</v>
      </c>
      <c r="M26" s="70">
        <v>188.24065000000002</v>
      </c>
      <c r="N26" s="70">
        <v>184.88574999999997</v>
      </c>
      <c r="O26" s="70">
        <v>180.96114999999998</v>
      </c>
      <c r="P26" s="70">
        <v>222.19829999999996</v>
      </c>
      <c r="Q26" s="70">
        <v>218.90699999999998</v>
      </c>
      <c r="R26" s="70">
        <v>215.60534999999999</v>
      </c>
      <c r="S26" s="70">
        <v>212.31405000000001</v>
      </c>
      <c r="T26" s="70">
        <v>209.02274999999997</v>
      </c>
      <c r="U26" s="46" t="s">
        <v>9</v>
      </c>
    </row>
    <row r="27" spans="2:21" ht="17.25" customHeight="1" x14ac:dyDescent="0.2">
      <c r="B27" s="65">
        <v>11</v>
      </c>
      <c r="C27" s="46" t="s">
        <v>10</v>
      </c>
      <c r="D27" s="70">
        <v>83.348299999999995</v>
      </c>
      <c r="E27" s="70">
        <v>99.825499999999991</v>
      </c>
      <c r="F27" s="70">
        <v>121.28824999999999</v>
      </c>
      <c r="G27" s="70">
        <v>145.01684999999998</v>
      </c>
      <c r="H27" s="70">
        <v>164.28534999999999</v>
      </c>
      <c r="I27" s="70">
        <v>162.09114999999997</v>
      </c>
      <c r="J27" s="70">
        <v>161.54259999999999</v>
      </c>
      <c r="K27" s="70">
        <v>196.84269999999998</v>
      </c>
      <c r="L27" s="70">
        <v>195.15469999999999</v>
      </c>
      <c r="M27" s="70">
        <v>191.7998</v>
      </c>
      <c r="N27" s="70">
        <v>189.56319999999999</v>
      </c>
      <c r="O27" s="70">
        <v>184.52030000000002</v>
      </c>
      <c r="P27" s="70">
        <v>226.84395000000001</v>
      </c>
      <c r="Q27" s="70">
        <v>223.55264999999997</v>
      </c>
      <c r="R27" s="70">
        <v>220.25099999999998</v>
      </c>
      <c r="S27" s="70">
        <v>216.9597</v>
      </c>
      <c r="T27" s="70">
        <v>214.21695</v>
      </c>
      <c r="U27" s="46" t="s">
        <v>10</v>
      </c>
    </row>
    <row r="28" spans="2:21" ht="17.25" customHeight="1" x14ac:dyDescent="0.2">
      <c r="B28" s="65">
        <v>12</v>
      </c>
      <c r="C28" s="46" t="s">
        <v>11</v>
      </c>
      <c r="D28" s="70">
        <v>121.78819999999999</v>
      </c>
      <c r="E28" s="70">
        <v>145.95544999999998</v>
      </c>
      <c r="F28" s="70">
        <v>168.29795000000001</v>
      </c>
      <c r="G28" s="70">
        <v>193.34100000000001</v>
      </c>
      <c r="H28" s="70">
        <v>210.4153</v>
      </c>
      <c r="I28" s="70">
        <v>208.76965000000001</v>
      </c>
      <c r="J28" s="70">
        <v>207.67255</v>
      </c>
      <c r="K28" s="70">
        <v>251.13299999999998</v>
      </c>
      <c r="L28" s="70">
        <v>249.45554999999996</v>
      </c>
      <c r="M28" s="70">
        <v>244.42320000000001</v>
      </c>
      <c r="N28" s="70">
        <v>242.17604999999998</v>
      </c>
      <c r="O28" s="70">
        <v>236.57400000000001</v>
      </c>
      <c r="P28" s="70">
        <v>280.11539999999997</v>
      </c>
      <c r="Q28" s="70">
        <v>279.01829999999995</v>
      </c>
      <c r="R28" s="70">
        <v>277.37264999999996</v>
      </c>
      <c r="S28" s="70">
        <v>277.37264999999996</v>
      </c>
      <c r="T28" s="70">
        <v>275.16809999999998</v>
      </c>
      <c r="U28" s="46" t="s">
        <v>11</v>
      </c>
    </row>
    <row r="29" spans="2:21" ht="17.25" customHeight="1" x14ac:dyDescent="0.2">
      <c r="B29" s="65">
        <v>13</v>
      </c>
      <c r="C29" s="46" t="s">
        <v>54</v>
      </c>
      <c r="D29" s="70">
        <v>139.88</v>
      </c>
      <c r="E29" s="70">
        <v>179.20999999999998</v>
      </c>
      <c r="F29" s="70">
        <v>272.45</v>
      </c>
      <c r="G29" s="70">
        <v>251.71499999999997</v>
      </c>
      <c r="H29" s="70">
        <v>330.90999999999997</v>
      </c>
      <c r="I29" s="70">
        <v>330.90999999999997</v>
      </c>
      <c r="J29" s="70">
        <v>330.90999999999997</v>
      </c>
      <c r="K29" s="70">
        <v>337.01</v>
      </c>
      <c r="L29" s="70">
        <v>337.01</v>
      </c>
      <c r="M29" s="70">
        <v>337.01</v>
      </c>
      <c r="N29" s="70">
        <v>337.01</v>
      </c>
      <c r="O29" s="70">
        <v>337.01</v>
      </c>
      <c r="P29" s="70">
        <v>340.72499999999997</v>
      </c>
      <c r="Q29" s="70">
        <v>340.72499999999997</v>
      </c>
      <c r="R29" s="70">
        <v>340.72499999999997</v>
      </c>
      <c r="S29" s="70">
        <v>340.72499999999997</v>
      </c>
      <c r="T29" s="70">
        <v>340.72499999999997</v>
      </c>
      <c r="U29" s="46" t="s">
        <v>54</v>
      </c>
    </row>
    <row r="30" spans="2:21" ht="17.25" customHeight="1" x14ac:dyDescent="0.2">
      <c r="B30" s="65">
        <v>14</v>
      </c>
      <c r="C30" s="46" t="s">
        <v>55</v>
      </c>
      <c r="D30" s="70">
        <v>145.05500000000001</v>
      </c>
      <c r="E30" s="70">
        <v>194.73499999999999</v>
      </c>
      <c r="F30" s="70">
        <v>297.29000000000002</v>
      </c>
      <c r="G30" s="70">
        <v>275.52</v>
      </c>
      <c r="H30" s="70">
        <v>361.96</v>
      </c>
      <c r="I30" s="70">
        <v>361.96</v>
      </c>
      <c r="J30" s="70">
        <v>361.96</v>
      </c>
      <c r="K30" s="70">
        <v>368.65999999999997</v>
      </c>
      <c r="L30" s="70">
        <v>368.65999999999997</v>
      </c>
      <c r="M30" s="70">
        <v>368.65999999999997</v>
      </c>
      <c r="N30" s="70">
        <v>368.65999999999997</v>
      </c>
      <c r="O30" s="70">
        <v>368.65999999999997</v>
      </c>
      <c r="P30" s="70">
        <v>372.81</v>
      </c>
      <c r="Q30" s="70">
        <v>372.81</v>
      </c>
      <c r="R30" s="70">
        <v>372.81</v>
      </c>
      <c r="S30" s="70">
        <v>372.81</v>
      </c>
      <c r="T30" s="70">
        <v>372.81</v>
      </c>
      <c r="U30" s="46" t="s">
        <v>55</v>
      </c>
    </row>
    <row r="31" spans="2:21" ht="20.25" customHeight="1" x14ac:dyDescent="0.2">
      <c r="C31" s="40"/>
      <c r="D31" s="47"/>
      <c r="E31" s="47"/>
      <c r="I31" s="48"/>
      <c r="J31" s="48"/>
      <c r="K31" s="48"/>
      <c r="L31" s="48"/>
      <c r="M31" s="48"/>
      <c r="N31" s="48"/>
    </row>
    <row r="32" spans="2:21" ht="14.25" customHeight="1" x14ac:dyDescent="0.2">
      <c r="C32" s="55" t="s">
        <v>113</v>
      </c>
      <c r="D32" s="56" t="s">
        <v>59</v>
      </c>
      <c r="E32" s="56"/>
      <c r="F32" s="56"/>
      <c r="G32" s="56"/>
      <c r="H32" s="56"/>
      <c r="I32" s="56"/>
      <c r="J32" s="56"/>
      <c r="K32" s="56"/>
      <c r="L32" s="48"/>
      <c r="M32" s="48"/>
      <c r="N32" s="48"/>
    </row>
    <row r="33" spans="2:17" ht="14.25" customHeight="1" x14ac:dyDescent="0.2">
      <c r="C33" s="55" t="s">
        <v>114</v>
      </c>
      <c r="D33" s="56" t="s">
        <v>103</v>
      </c>
      <c r="E33" s="56"/>
      <c r="F33" s="56"/>
      <c r="G33" s="56"/>
      <c r="H33" s="56"/>
      <c r="I33" s="56"/>
      <c r="J33" s="56"/>
      <c r="K33" s="56"/>
      <c r="L33" s="48"/>
      <c r="M33" s="48"/>
      <c r="N33" s="48"/>
    </row>
    <row r="34" spans="2:17" ht="14.25" customHeight="1" x14ac:dyDescent="0.2">
      <c r="C34" s="55" t="s">
        <v>115</v>
      </c>
      <c r="D34" s="57" t="s">
        <v>107</v>
      </c>
      <c r="E34" s="57"/>
      <c r="F34" s="57"/>
      <c r="G34" s="57"/>
      <c r="H34" s="57"/>
      <c r="I34" s="57"/>
      <c r="J34" s="57"/>
      <c r="K34" s="57"/>
      <c r="L34" s="48"/>
      <c r="M34" s="48"/>
      <c r="N34" s="48"/>
    </row>
    <row r="35" spans="2:17" ht="14.25" customHeight="1" x14ac:dyDescent="0.2">
      <c r="C35" s="55" t="s">
        <v>116</v>
      </c>
      <c r="D35" s="57" t="s">
        <v>90</v>
      </c>
      <c r="E35" s="57"/>
      <c r="F35" s="57"/>
      <c r="G35" s="57"/>
      <c r="H35" s="57"/>
      <c r="I35" s="57"/>
      <c r="J35" s="57"/>
      <c r="K35" s="57"/>
      <c r="L35" s="48"/>
      <c r="M35" s="48"/>
      <c r="N35" s="48"/>
    </row>
    <row r="36" spans="2:17" ht="14.25" customHeight="1" x14ac:dyDescent="0.2">
      <c r="C36" s="55" t="s">
        <v>117</v>
      </c>
      <c r="D36" s="57" t="s">
        <v>91</v>
      </c>
      <c r="E36" s="57"/>
      <c r="F36" s="57"/>
      <c r="G36" s="57"/>
      <c r="H36" s="57"/>
      <c r="I36" s="57"/>
      <c r="J36" s="57"/>
      <c r="K36" s="57"/>
      <c r="L36" s="48"/>
      <c r="M36" s="48"/>
      <c r="N36" s="48"/>
    </row>
    <row r="37" spans="2:17" ht="14.25" customHeight="1" x14ac:dyDescent="0.2">
      <c r="C37" s="55" t="s">
        <v>58</v>
      </c>
      <c r="D37" s="56" t="s">
        <v>96</v>
      </c>
      <c r="E37" s="56"/>
      <c r="F37" s="56"/>
      <c r="G37" s="56"/>
      <c r="H37" s="56"/>
      <c r="I37" s="56"/>
      <c r="J37" s="56"/>
      <c r="K37" s="56"/>
      <c r="L37" s="48"/>
      <c r="M37" s="48"/>
      <c r="N37" s="48"/>
    </row>
    <row r="38" spans="2:17" ht="14.25" customHeight="1" x14ac:dyDescent="0.2">
      <c r="C38" s="58" t="s">
        <v>60</v>
      </c>
      <c r="D38" s="59" t="s">
        <v>95</v>
      </c>
      <c r="E38" s="59"/>
      <c r="F38" s="59"/>
      <c r="G38" s="59"/>
      <c r="H38" s="59"/>
      <c r="I38" s="59"/>
      <c r="J38" s="59"/>
      <c r="K38" s="59"/>
      <c r="L38" s="48"/>
      <c r="M38" s="48"/>
      <c r="N38" s="48"/>
    </row>
    <row r="39" spans="2:17" ht="14.25" customHeight="1" x14ac:dyDescent="0.2">
      <c r="C39" s="55"/>
      <c r="D39" s="56" t="s">
        <v>66</v>
      </c>
      <c r="E39" s="56"/>
      <c r="F39" s="56"/>
      <c r="G39" s="56"/>
      <c r="H39" s="56"/>
      <c r="I39" s="56"/>
      <c r="J39" s="56"/>
      <c r="K39" s="56"/>
      <c r="L39" s="48"/>
      <c r="M39" s="48"/>
      <c r="N39" s="48"/>
    </row>
    <row r="40" spans="2:17" ht="14.25" customHeight="1" x14ac:dyDescent="0.2">
      <c r="C40" s="55" t="s">
        <v>61</v>
      </c>
      <c r="D40" s="56" t="s">
        <v>68</v>
      </c>
      <c r="E40" s="56"/>
      <c r="F40" s="56"/>
      <c r="G40" s="56"/>
      <c r="H40" s="56"/>
      <c r="I40" s="56"/>
      <c r="J40" s="56"/>
      <c r="K40" s="56"/>
      <c r="L40" s="48"/>
      <c r="M40" s="48"/>
      <c r="N40" s="48"/>
    </row>
    <row r="41" spans="2:17" ht="14.25" customHeight="1" x14ac:dyDescent="0.2">
      <c r="C41" s="55" t="s">
        <v>62</v>
      </c>
      <c r="D41" s="56" t="s">
        <v>98</v>
      </c>
      <c r="E41" s="56"/>
      <c r="F41" s="56"/>
      <c r="G41" s="56"/>
      <c r="H41" s="56"/>
      <c r="I41" s="56"/>
      <c r="J41" s="56"/>
      <c r="K41" s="56"/>
      <c r="L41" s="48"/>
      <c r="M41" s="48"/>
      <c r="N41" s="48"/>
    </row>
    <row r="42" spans="2:17" ht="14.25" customHeight="1" x14ac:dyDescent="0.2">
      <c r="C42" s="58" t="s">
        <v>63</v>
      </c>
      <c r="D42" s="60" t="s">
        <v>102</v>
      </c>
      <c r="E42" s="60"/>
      <c r="F42" s="60"/>
      <c r="G42" s="60"/>
      <c r="H42" s="60"/>
      <c r="I42" s="60"/>
      <c r="J42" s="60"/>
      <c r="K42" s="60"/>
      <c r="L42" s="48"/>
      <c r="M42" s="48"/>
      <c r="N42" s="48"/>
    </row>
    <row r="43" spans="2:17" ht="14.25" customHeight="1" x14ac:dyDescent="0.2">
      <c r="C43" s="55"/>
      <c r="D43" s="56" t="s">
        <v>100</v>
      </c>
      <c r="E43" s="56"/>
      <c r="F43" s="56"/>
      <c r="G43" s="56"/>
      <c r="H43" s="56"/>
      <c r="I43" s="56"/>
      <c r="J43" s="56"/>
      <c r="K43" s="56"/>
      <c r="L43" s="48"/>
      <c r="M43" s="48"/>
      <c r="N43" s="48"/>
    </row>
    <row r="44" spans="2:17" ht="14.25" customHeight="1" x14ac:dyDescent="0.2">
      <c r="C44" s="58" t="s">
        <v>64</v>
      </c>
      <c r="D44" s="60" t="s">
        <v>94</v>
      </c>
      <c r="E44" s="60"/>
      <c r="F44" s="60"/>
      <c r="G44" s="60"/>
      <c r="H44" s="60"/>
      <c r="I44" s="60"/>
      <c r="J44" s="60"/>
      <c r="K44" s="60"/>
      <c r="L44" s="48"/>
      <c r="M44" s="48"/>
      <c r="N44" s="48"/>
    </row>
    <row r="45" spans="2:17" ht="14.25" customHeight="1" x14ac:dyDescent="0.2">
      <c r="C45" s="58"/>
      <c r="D45" s="66" t="s">
        <v>97</v>
      </c>
      <c r="E45" s="60"/>
      <c r="F45" s="60"/>
      <c r="G45" s="60"/>
      <c r="H45" s="60"/>
      <c r="I45" s="60"/>
      <c r="J45" s="60"/>
      <c r="K45" s="60"/>
      <c r="L45" s="48"/>
      <c r="M45" s="48"/>
      <c r="N45" s="48"/>
    </row>
    <row r="46" spans="2:17" ht="14.25" customHeight="1" x14ac:dyDescent="0.2">
      <c r="C46" s="58"/>
      <c r="D46" s="66" t="s">
        <v>92</v>
      </c>
      <c r="E46" s="60"/>
      <c r="F46" s="60"/>
      <c r="G46" s="60"/>
      <c r="H46" s="60"/>
      <c r="I46" s="60"/>
      <c r="J46" s="60"/>
      <c r="K46" s="60"/>
      <c r="L46" s="48"/>
      <c r="M46" s="48"/>
      <c r="N46" s="48"/>
    </row>
    <row r="47" spans="2:17" ht="14.25" customHeight="1" x14ac:dyDescent="0.2">
      <c r="C47" s="58"/>
      <c r="D47" s="60" t="s">
        <v>86</v>
      </c>
      <c r="E47" s="60"/>
      <c r="F47" s="60"/>
      <c r="G47" s="60"/>
      <c r="H47" s="60"/>
      <c r="I47" s="60"/>
      <c r="J47" s="60"/>
      <c r="K47" s="60"/>
      <c r="L47" s="48"/>
      <c r="M47" s="48"/>
      <c r="N47" s="48"/>
    </row>
    <row r="48" spans="2:17" s="31" customFormat="1" ht="14.25" customHeight="1" x14ac:dyDescent="0.2">
      <c r="B48" s="48"/>
      <c r="C48" s="58"/>
      <c r="D48" s="60" t="s">
        <v>99</v>
      </c>
      <c r="E48" s="60"/>
      <c r="F48" s="60"/>
      <c r="G48" s="60"/>
      <c r="H48" s="60"/>
      <c r="I48" s="60"/>
      <c r="J48" s="60"/>
      <c r="K48" s="60"/>
      <c r="L48" s="48"/>
      <c r="M48" s="48"/>
      <c r="N48" s="48"/>
      <c r="O48" s="30"/>
      <c r="P48" s="30"/>
      <c r="Q48" s="30"/>
    </row>
    <row r="49" spans="2:20" s="31" customFormat="1" ht="14.25" customHeight="1" x14ac:dyDescent="0.2">
      <c r="B49" s="48"/>
      <c r="C49" s="55"/>
      <c r="D49" s="56" t="s">
        <v>87</v>
      </c>
      <c r="E49" s="56"/>
      <c r="F49" s="56"/>
      <c r="G49" s="56"/>
      <c r="H49" s="56"/>
      <c r="I49" s="56"/>
      <c r="J49" s="56"/>
      <c r="K49" s="56"/>
    </row>
    <row r="50" spans="2:20" s="31" customFormat="1" ht="14.25" customHeight="1" x14ac:dyDescent="0.2">
      <c r="B50" s="48"/>
      <c r="C50" s="58" t="s">
        <v>65</v>
      </c>
      <c r="D50" s="60" t="s">
        <v>101</v>
      </c>
      <c r="E50" s="60"/>
      <c r="F50" s="60"/>
      <c r="G50" s="60"/>
      <c r="H50" s="60"/>
      <c r="I50" s="60"/>
      <c r="J50" s="60"/>
      <c r="K50" s="60"/>
    </row>
    <row r="51" spans="2:20" s="31" customFormat="1" ht="14.25" customHeight="1" x14ac:dyDescent="0.2">
      <c r="B51" s="48"/>
      <c r="C51" s="58"/>
      <c r="D51" s="60" t="s">
        <v>73</v>
      </c>
      <c r="E51" s="60"/>
      <c r="F51" s="60"/>
      <c r="G51" s="60"/>
      <c r="H51" s="60"/>
      <c r="I51" s="60"/>
      <c r="J51" s="60"/>
      <c r="K51" s="60"/>
    </row>
    <row r="52" spans="2:20" s="31" customFormat="1" ht="14.25" customHeight="1" x14ac:dyDescent="0.2">
      <c r="B52" s="48"/>
      <c r="C52" s="55"/>
      <c r="D52" s="56" t="s">
        <v>74</v>
      </c>
      <c r="E52" s="56"/>
      <c r="F52" s="56"/>
      <c r="G52" s="56"/>
      <c r="H52" s="56"/>
      <c r="I52" s="56"/>
      <c r="J52" s="56"/>
      <c r="K52" s="56"/>
    </row>
    <row r="53" spans="2:20" s="31" customFormat="1" ht="14.25" customHeight="1" x14ac:dyDescent="0.2">
      <c r="B53" s="48"/>
      <c r="C53" s="55" t="s">
        <v>67</v>
      </c>
      <c r="D53" s="56" t="s">
        <v>76</v>
      </c>
      <c r="E53" s="56"/>
      <c r="F53" s="56"/>
      <c r="G53" s="56"/>
      <c r="H53" s="56"/>
      <c r="I53" s="56"/>
      <c r="J53" s="56"/>
      <c r="K53" s="56"/>
    </row>
    <row r="54" spans="2:20" s="31" customFormat="1" ht="14.25" customHeight="1" x14ac:dyDescent="0.2">
      <c r="B54" s="48"/>
      <c r="C54" s="55" t="s">
        <v>69</v>
      </c>
      <c r="D54" s="56" t="s">
        <v>78</v>
      </c>
      <c r="E54" s="56"/>
      <c r="F54" s="56"/>
      <c r="G54" s="56"/>
      <c r="H54" s="56"/>
      <c r="I54" s="56"/>
      <c r="J54" s="56"/>
      <c r="K54" s="56"/>
    </row>
    <row r="55" spans="2:20" s="31" customFormat="1" ht="14.25" customHeight="1" x14ac:dyDescent="0.2">
      <c r="B55" s="48"/>
      <c r="C55" s="55" t="s">
        <v>70</v>
      </c>
      <c r="D55" s="56" t="s">
        <v>79</v>
      </c>
      <c r="E55" s="56"/>
      <c r="F55" s="56"/>
      <c r="G55" s="56"/>
      <c r="H55" s="56"/>
      <c r="I55" s="56"/>
      <c r="J55" s="56"/>
      <c r="K55" s="56"/>
    </row>
    <row r="56" spans="2:20" s="31" customFormat="1" ht="14.25" customHeight="1" x14ac:dyDescent="0.2">
      <c r="B56" s="48"/>
      <c r="C56" s="55" t="s">
        <v>71</v>
      </c>
      <c r="D56" s="56" t="s">
        <v>81</v>
      </c>
      <c r="E56" s="56"/>
      <c r="F56" s="56"/>
      <c r="G56" s="56"/>
      <c r="H56" s="56"/>
      <c r="I56" s="56"/>
      <c r="J56" s="56"/>
      <c r="K56" s="56"/>
    </row>
    <row r="57" spans="2:20" s="31" customFormat="1" ht="14.25" customHeight="1" x14ac:dyDescent="0.2">
      <c r="B57" s="48"/>
      <c r="C57" s="55" t="s">
        <v>72</v>
      </c>
      <c r="D57" s="56" t="s">
        <v>83</v>
      </c>
      <c r="E57" s="56"/>
      <c r="F57" s="56"/>
      <c r="G57" s="56"/>
      <c r="H57" s="56"/>
      <c r="I57" s="56"/>
      <c r="J57" s="56"/>
      <c r="K57" s="56"/>
      <c r="L57" s="67"/>
      <c r="M57" s="67"/>
      <c r="N57" s="67"/>
    </row>
    <row r="58" spans="2:20" s="31" customFormat="1" ht="14.25" customHeight="1" x14ac:dyDescent="0.2">
      <c r="B58" s="48"/>
      <c r="C58" s="55" t="s">
        <v>75</v>
      </c>
      <c r="D58" s="56" t="s">
        <v>84</v>
      </c>
      <c r="E58" s="56"/>
      <c r="F58" s="56"/>
      <c r="G58" s="56"/>
      <c r="H58" s="56"/>
      <c r="I58" s="56"/>
      <c r="J58" s="56"/>
      <c r="K58" s="56"/>
      <c r="L58" s="68"/>
      <c r="M58" s="68"/>
      <c r="N58" s="68"/>
    </row>
    <row r="59" spans="2:20" s="31" customFormat="1" ht="14.25" customHeight="1" x14ac:dyDescent="0.2">
      <c r="B59" s="48"/>
      <c r="C59" s="55" t="s">
        <v>77</v>
      </c>
      <c r="D59" s="56" t="s">
        <v>85</v>
      </c>
      <c r="E59" s="56"/>
      <c r="F59" s="56"/>
      <c r="G59" s="56"/>
      <c r="H59" s="56"/>
      <c r="I59" s="56"/>
      <c r="J59" s="56"/>
      <c r="K59" s="56"/>
      <c r="L59" s="68"/>
      <c r="M59" s="68"/>
      <c r="N59" s="68"/>
    </row>
    <row r="60" spans="2:20" s="31" customFormat="1" ht="10.5" customHeight="1" x14ac:dyDescent="0.2">
      <c r="B60" s="48"/>
      <c r="C60" s="49"/>
      <c r="D60" s="50"/>
      <c r="E60" s="50"/>
      <c r="F60" s="50"/>
      <c r="G60" s="50"/>
      <c r="H60" s="50"/>
      <c r="I60" s="50"/>
    </row>
    <row r="61" spans="2:20" s="31" customFormat="1" ht="15" customHeight="1" x14ac:dyDescent="0.25">
      <c r="B61" s="48"/>
      <c r="C61" s="76" t="s">
        <v>43</v>
      </c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Q61" s="82" t="s">
        <v>44</v>
      </c>
      <c r="R61" s="82"/>
      <c r="S61" s="83">
        <f>'Datos Cliente'!D9</f>
        <v>46387</v>
      </c>
      <c r="T61" s="83"/>
    </row>
    <row r="62" spans="2:20" s="31" customFormat="1" ht="15" customHeight="1" x14ac:dyDescent="0.2">
      <c r="B62" s="48"/>
      <c r="C62" s="51"/>
      <c r="D62" s="51"/>
      <c r="E62" s="51"/>
      <c r="F62" s="50"/>
      <c r="G62" s="50"/>
      <c r="H62" s="50"/>
      <c r="I62" s="50"/>
    </row>
    <row r="63" spans="2:20" s="31" customFormat="1" ht="15" customHeight="1" x14ac:dyDescent="0.2">
      <c r="B63" s="48"/>
      <c r="C63" s="51"/>
      <c r="D63" s="52"/>
      <c r="E63" s="51"/>
      <c r="F63" s="50"/>
      <c r="G63" s="50"/>
      <c r="H63" s="50"/>
      <c r="I63" s="50"/>
    </row>
    <row r="64" spans="2:20" s="31" customFormat="1" ht="15" customHeight="1" x14ac:dyDescent="0.2">
      <c r="B64" s="48"/>
      <c r="C64" s="51"/>
      <c r="D64" s="52"/>
      <c r="E64" s="51"/>
      <c r="F64" s="50"/>
      <c r="G64" s="50"/>
      <c r="H64" s="50"/>
      <c r="I64" s="50"/>
    </row>
    <row r="65" spans="2:20" s="31" customFormat="1" x14ac:dyDescent="0.2">
      <c r="B65" s="48"/>
      <c r="C65" s="51"/>
      <c r="D65" s="52"/>
      <c r="E65" s="51"/>
      <c r="F65" s="50"/>
      <c r="G65" s="50"/>
      <c r="H65" s="50"/>
      <c r="I65" s="50"/>
    </row>
    <row r="66" spans="2:20" s="31" customFormat="1" x14ac:dyDescent="0.2">
      <c r="B66" s="48"/>
      <c r="C66" s="51"/>
      <c r="D66" s="51"/>
      <c r="E66" s="51"/>
      <c r="F66" s="50"/>
      <c r="G66" s="50"/>
      <c r="H66" s="50"/>
      <c r="I66" s="50"/>
    </row>
    <row r="67" spans="2:20" s="31" customFormat="1" x14ac:dyDescent="0.2">
      <c r="B67" s="48"/>
      <c r="C67" s="51"/>
      <c r="D67" s="52"/>
      <c r="E67" s="51"/>
      <c r="F67" s="50"/>
      <c r="G67" s="50"/>
      <c r="H67" s="50"/>
      <c r="I67" s="50"/>
    </row>
    <row r="68" spans="2:20" s="31" customFormat="1" x14ac:dyDescent="0.2">
      <c r="B68" s="48"/>
      <c r="C68" s="51"/>
      <c r="D68" s="51"/>
      <c r="E68" s="51"/>
      <c r="F68" s="50"/>
      <c r="G68" s="50"/>
      <c r="H68" s="50"/>
      <c r="I68" s="50"/>
    </row>
    <row r="69" spans="2:20" s="31" customFormat="1" x14ac:dyDescent="0.2">
      <c r="B69" s="48"/>
      <c r="C69" s="51"/>
      <c r="D69" s="51"/>
      <c r="E69" s="51"/>
      <c r="F69" s="50"/>
      <c r="G69" s="50"/>
      <c r="H69" s="50"/>
      <c r="I69" s="50"/>
    </row>
    <row r="70" spans="2:20" s="31" customFormat="1" x14ac:dyDescent="0.2">
      <c r="B70" s="48"/>
      <c r="C70" s="51"/>
      <c r="D70" s="51"/>
      <c r="E70" s="51"/>
      <c r="F70" s="50"/>
      <c r="G70" s="50"/>
      <c r="H70" s="50"/>
      <c r="I70" s="50"/>
    </row>
    <row r="71" spans="2:20" s="31" customFormat="1" x14ac:dyDescent="0.2">
      <c r="B71" s="48"/>
      <c r="C71" s="51"/>
      <c r="D71" s="51"/>
      <c r="E71" s="51"/>
      <c r="F71" s="50"/>
      <c r="G71" s="50"/>
      <c r="H71" s="50"/>
      <c r="I71" s="50"/>
    </row>
    <row r="72" spans="2:20" s="31" customFormat="1" x14ac:dyDescent="0.2">
      <c r="B72" s="48"/>
      <c r="C72" s="51"/>
      <c r="D72" s="51"/>
      <c r="E72" s="51"/>
      <c r="F72" s="50"/>
      <c r="G72" s="50"/>
      <c r="H72" s="50"/>
      <c r="I72" s="50"/>
      <c r="N72" s="49"/>
      <c r="O72" s="50"/>
      <c r="P72" s="50"/>
      <c r="Q72" s="50"/>
      <c r="R72" s="50"/>
      <c r="S72" s="50"/>
      <c r="T72" s="50"/>
    </row>
    <row r="73" spans="2:20" s="31" customFormat="1" x14ac:dyDescent="0.2">
      <c r="B73" s="48"/>
      <c r="C73" s="51"/>
      <c r="D73" s="51"/>
      <c r="E73" s="51"/>
      <c r="F73" s="50"/>
      <c r="G73" s="50"/>
      <c r="H73" s="50"/>
      <c r="I73" s="50"/>
      <c r="N73" s="49"/>
      <c r="O73" s="53"/>
      <c r="P73" s="50"/>
      <c r="Q73" s="50"/>
      <c r="R73" s="50"/>
      <c r="S73" s="50"/>
      <c r="T73" s="50"/>
    </row>
    <row r="74" spans="2:20" s="31" customFormat="1" x14ac:dyDescent="0.2">
      <c r="B74" s="48"/>
      <c r="C74" s="49"/>
      <c r="D74" s="50"/>
      <c r="E74" s="50"/>
      <c r="F74" s="50"/>
      <c r="G74" s="50"/>
      <c r="H74" s="50"/>
      <c r="I74" s="50"/>
      <c r="N74" s="49"/>
      <c r="O74" s="53"/>
      <c r="P74" s="50"/>
      <c r="Q74" s="50"/>
      <c r="R74" s="50"/>
      <c r="S74" s="50"/>
      <c r="T74" s="50"/>
    </row>
    <row r="75" spans="2:20" s="31" customFormat="1" x14ac:dyDescent="0.2">
      <c r="B75" s="48"/>
      <c r="C75" s="49"/>
      <c r="D75" s="50"/>
      <c r="E75" s="50"/>
      <c r="F75" s="50"/>
      <c r="G75" s="50"/>
      <c r="H75" s="50"/>
      <c r="I75" s="50"/>
      <c r="N75" s="49"/>
      <c r="O75" s="53"/>
      <c r="P75" s="50"/>
      <c r="Q75" s="50"/>
      <c r="R75" s="50"/>
      <c r="S75" s="50"/>
      <c r="T75" s="50"/>
    </row>
    <row r="76" spans="2:20" s="31" customFormat="1" x14ac:dyDescent="0.2">
      <c r="B76" s="48"/>
      <c r="C76" s="50"/>
      <c r="D76" s="50"/>
      <c r="E76" s="50"/>
      <c r="F76" s="50"/>
      <c r="G76" s="50"/>
      <c r="H76" s="50"/>
      <c r="I76" s="50"/>
      <c r="N76" s="49"/>
      <c r="O76" s="50"/>
      <c r="P76" s="50"/>
      <c r="Q76" s="50"/>
      <c r="R76" s="50"/>
      <c r="S76" s="50"/>
      <c r="T76" s="50"/>
    </row>
    <row r="77" spans="2:20" s="31" customFormat="1" x14ac:dyDescent="0.2">
      <c r="B77" s="48"/>
      <c r="I77" s="50"/>
      <c r="N77" s="49"/>
      <c r="O77" s="50"/>
      <c r="P77" s="50"/>
      <c r="Q77" s="50"/>
      <c r="R77" s="50"/>
      <c r="S77" s="50"/>
      <c r="T77" s="50"/>
    </row>
    <row r="78" spans="2:20" s="31" customFormat="1" x14ac:dyDescent="0.2">
      <c r="B78" s="48"/>
      <c r="N78" s="49"/>
      <c r="O78" s="50"/>
      <c r="P78" s="50"/>
      <c r="Q78" s="50"/>
      <c r="R78" s="50"/>
      <c r="S78" s="50"/>
      <c r="T78" s="50"/>
    </row>
    <row r="79" spans="2:20" s="31" customFormat="1" x14ac:dyDescent="0.2">
      <c r="B79" s="48"/>
      <c r="N79" s="49"/>
      <c r="O79" s="50"/>
      <c r="P79" s="50"/>
      <c r="Q79" s="50"/>
      <c r="R79" s="50"/>
      <c r="S79" s="50"/>
      <c r="T79" s="50"/>
    </row>
    <row r="80" spans="2:20" ht="12" customHeight="1" x14ac:dyDescent="0.2">
      <c r="I80" s="31"/>
      <c r="N80" s="49"/>
      <c r="O80" s="50"/>
      <c r="P80" s="50"/>
      <c r="Q80" s="50"/>
      <c r="R80" s="50"/>
      <c r="S80" s="50"/>
      <c r="T80" s="50"/>
    </row>
    <row r="81" spans="14:20" x14ac:dyDescent="0.2">
      <c r="N81" s="49"/>
      <c r="O81" s="50"/>
      <c r="P81" s="50"/>
      <c r="Q81" s="50"/>
      <c r="R81" s="50"/>
      <c r="S81" s="50"/>
      <c r="T81" s="50"/>
    </row>
    <row r="82" spans="14:20" x14ac:dyDescent="0.2">
      <c r="N82" s="49"/>
      <c r="O82" s="53"/>
      <c r="P82" s="50"/>
      <c r="Q82" s="50"/>
      <c r="R82" s="50"/>
      <c r="S82" s="50"/>
      <c r="T82" s="50"/>
    </row>
    <row r="83" spans="14:20" x14ac:dyDescent="0.2">
      <c r="N83" s="49"/>
      <c r="O83" s="53"/>
      <c r="P83" s="50"/>
      <c r="Q83" s="50"/>
      <c r="R83" s="50"/>
      <c r="S83" s="50"/>
      <c r="T83" s="50"/>
    </row>
    <row r="84" spans="14:20" x14ac:dyDescent="0.2">
      <c r="N84" s="49"/>
      <c r="O84" s="53"/>
      <c r="P84" s="50"/>
      <c r="Q84" s="50"/>
      <c r="R84" s="50"/>
      <c r="S84" s="50"/>
      <c r="T84" s="50"/>
    </row>
    <row r="85" spans="14:20" x14ac:dyDescent="0.2">
      <c r="N85" s="49"/>
      <c r="O85" s="53"/>
      <c r="P85" s="50"/>
      <c r="Q85" s="50"/>
      <c r="R85" s="50"/>
      <c r="S85" s="50"/>
      <c r="T85" s="50"/>
    </row>
    <row r="86" spans="14:20" x14ac:dyDescent="0.2">
      <c r="N86" s="49"/>
      <c r="O86" s="50"/>
      <c r="P86" s="50"/>
      <c r="Q86" s="50"/>
      <c r="R86" s="50"/>
      <c r="S86" s="50"/>
      <c r="T86" s="50"/>
    </row>
    <row r="87" spans="14:20" x14ac:dyDescent="0.2">
      <c r="N87" s="49"/>
      <c r="O87" s="53"/>
      <c r="P87" s="50"/>
      <c r="Q87" s="50"/>
      <c r="R87" s="50"/>
      <c r="S87" s="50"/>
      <c r="T87" s="50"/>
    </row>
    <row r="88" spans="14:20" x14ac:dyDescent="0.2">
      <c r="N88" s="49"/>
      <c r="O88" s="53"/>
      <c r="P88" s="50"/>
      <c r="Q88" s="50"/>
      <c r="R88" s="50"/>
      <c r="S88" s="50"/>
      <c r="T88" s="50"/>
    </row>
    <row r="89" spans="14:20" x14ac:dyDescent="0.2">
      <c r="N89" s="49"/>
      <c r="O89" s="50"/>
      <c r="P89" s="50"/>
      <c r="Q89" s="50"/>
      <c r="R89" s="50"/>
      <c r="S89" s="50"/>
      <c r="T89" s="50"/>
    </row>
    <row r="90" spans="14:20" ht="7.5" customHeight="1" x14ac:dyDescent="0.2">
      <c r="N90" s="49"/>
      <c r="O90" s="50"/>
      <c r="P90" s="50"/>
      <c r="Q90" s="50"/>
      <c r="R90" s="50"/>
      <c r="S90" s="50"/>
      <c r="T90" s="50"/>
    </row>
    <row r="91" spans="14:20" x14ac:dyDescent="0.2">
      <c r="N91" s="49"/>
      <c r="O91" s="50"/>
      <c r="P91" s="50"/>
      <c r="Q91" s="50"/>
      <c r="R91" s="50"/>
      <c r="S91" s="50"/>
      <c r="T91" s="50"/>
    </row>
    <row r="92" spans="14:20" x14ac:dyDescent="0.2">
      <c r="N92" s="49"/>
      <c r="O92" s="50"/>
      <c r="P92" s="50"/>
      <c r="Q92" s="50"/>
      <c r="R92" s="50"/>
      <c r="S92" s="50"/>
      <c r="T92" s="50"/>
    </row>
    <row r="93" spans="14:20" x14ac:dyDescent="0.2">
      <c r="N93" s="49"/>
      <c r="O93" s="50"/>
      <c r="P93" s="50"/>
      <c r="Q93" s="50"/>
      <c r="R93" s="50"/>
      <c r="S93" s="50"/>
      <c r="T93" s="50"/>
    </row>
    <row r="94" spans="14:20" x14ac:dyDescent="0.2">
      <c r="N94" s="49"/>
      <c r="O94" s="50"/>
      <c r="P94" s="50"/>
      <c r="Q94" s="50"/>
      <c r="R94" s="50"/>
      <c r="S94" s="50"/>
      <c r="T94" s="50"/>
    </row>
  </sheetData>
  <sheetProtection formatCells="0" formatColumns="0"/>
  <mergeCells count="18">
    <mergeCell ref="J4:L4"/>
    <mergeCell ref="O4:P4"/>
    <mergeCell ref="Q4:T4"/>
    <mergeCell ref="Q5:T5"/>
    <mergeCell ref="Q6:T6"/>
    <mergeCell ref="C61:O61"/>
    <mergeCell ref="H9:J9"/>
    <mergeCell ref="K9:O9"/>
    <mergeCell ref="P9:T9"/>
    <mergeCell ref="Q61:R61"/>
    <mergeCell ref="S61:T61"/>
    <mergeCell ref="Q3:R3"/>
    <mergeCell ref="S3:T3"/>
    <mergeCell ref="C2:F2"/>
    <mergeCell ref="J2:L2"/>
    <mergeCell ref="O2:P2"/>
    <mergeCell ref="J3:L3"/>
    <mergeCell ref="O3:P3"/>
  </mergeCells>
  <phoneticPr fontId="18" type="noConversion"/>
  <printOptions horizontalCentered="1" verticalCentered="1"/>
  <pageMargins left="0" right="0" top="0" bottom="0" header="0.31496062992125984" footer="0.31496062992125984"/>
  <pageSetup paperSize="9" scale="55" orientation="landscape" verticalDpi="598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A410-5F00-4E2D-8336-B1EE9EAA65D6}">
  <sheetPr>
    <tabColor rgb="FF99FDA3"/>
    <pageSetUpPr fitToPage="1"/>
  </sheetPr>
  <dimension ref="B1:V94"/>
  <sheetViews>
    <sheetView showGridLines="0" tabSelected="1" topLeftCell="A5" zoomScale="90" zoomScaleNormal="90" zoomScaleSheetLayoutView="90" workbookViewId="0">
      <selection activeCell="D21" sqref="D21"/>
    </sheetView>
  </sheetViews>
  <sheetFormatPr baseColWidth="10" defaultColWidth="11.42578125" defaultRowHeight="14.25" x14ac:dyDescent="0.2"/>
  <cols>
    <col min="1" max="1" width="2.140625" style="30" customWidth="1"/>
    <col min="2" max="2" width="6.42578125" style="61" customWidth="1"/>
    <col min="3" max="20" width="11.28515625" style="30" customWidth="1"/>
    <col min="21" max="21" width="10.140625" style="30" customWidth="1"/>
    <col min="22" max="22" width="7.5703125" style="30" customWidth="1"/>
    <col min="23" max="30" width="10" style="30" customWidth="1"/>
    <col min="31" max="16384" width="11.42578125" style="30"/>
  </cols>
  <sheetData>
    <row r="1" spans="2:22" ht="15" customHeight="1" x14ac:dyDescent="0.2"/>
    <row r="2" spans="2:22" s="31" customFormat="1" ht="13.5" customHeight="1" x14ac:dyDescent="0.4">
      <c r="B2" s="48"/>
      <c r="C2" s="73"/>
      <c r="D2" s="73"/>
      <c r="E2" s="73"/>
      <c r="F2" s="73"/>
      <c r="G2" s="32"/>
      <c r="H2" s="32"/>
      <c r="I2" s="32"/>
      <c r="J2" s="74"/>
      <c r="K2" s="74"/>
      <c r="L2" s="74"/>
      <c r="O2" s="74"/>
      <c r="P2" s="74"/>
      <c r="Q2" s="33"/>
      <c r="R2" s="30"/>
      <c r="S2" s="30"/>
      <c r="T2" s="30"/>
      <c r="U2" s="30"/>
      <c r="V2" s="30"/>
    </row>
    <row r="3" spans="2:22" s="31" customFormat="1" ht="20.25" customHeight="1" thickBot="1" x14ac:dyDescent="0.45">
      <c r="B3" s="48"/>
      <c r="C3" s="32"/>
      <c r="D3" s="32"/>
      <c r="E3" s="32"/>
      <c r="F3" s="32"/>
      <c r="G3" s="32"/>
      <c r="H3" s="32"/>
      <c r="I3" s="32"/>
      <c r="J3" s="75"/>
      <c r="K3" s="75"/>
      <c r="L3" s="75"/>
      <c r="O3" s="71"/>
      <c r="P3" s="72"/>
      <c r="Q3" s="33"/>
      <c r="R3" s="30"/>
      <c r="S3" s="30"/>
      <c r="T3" s="30"/>
      <c r="U3" s="30"/>
      <c r="V3" s="30"/>
    </row>
    <row r="4" spans="2:22" s="31" customFormat="1" ht="21.75" customHeight="1" thickTop="1" thickBot="1" x14ac:dyDescent="0.45">
      <c r="B4" s="48"/>
      <c r="C4" s="32"/>
      <c r="D4" s="32"/>
      <c r="E4" s="32"/>
      <c r="F4" s="32"/>
      <c r="G4" s="32"/>
      <c r="H4" s="32"/>
      <c r="I4" s="32"/>
      <c r="J4" s="74"/>
      <c r="K4" s="74"/>
      <c r="L4" s="74"/>
      <c r="O4" s="84"/>
      <c r="P4" s="84"/>
      <c r="Q4" s="85" t="str">
        <f>'Datos Cliente'!D5</f>
        <v>PLANTASUR 2026</v>
      </c>
      <c r="R4" s="85"/>
      <c r="S4" s="85"/>
      <c r="T4" s="85"/>
      <c r="U4" s="30"/>
      <c r="V4" s="30"/>
    </row>
    <row r="5" spans="2:22" s="31" customFormat="1" ht="21" customHeight="1" thickTop="1" thickBot="1" x14ac:dyDescent="0.45">
      <c r="B5" s="48"/>
      <c r="C5" s="32"/>
      <c r="D5" s="32"/>
      <c r="E5" s="32"/>
      <c r="F5" s="32"/>
      <c r="L5" s="33"/>
      <c r="M5" s="33"/>
      <c r="N5" s="33"/>
      <c r="O5" s="35"/>
      <c r="P5" s="35"/>
      <c r="Q5" s="85">
        <f>'Datos Cliente'!D6</f>
        <v>46023</v>
      </c>
      <c r="R5" s="85"/>
      <c r="S5" s="85"/>
      <c r="T5" s="85"/>
      <c r="U5" s="30"/>
      <c r="V5" s="30"/>
    </row>
    <row r="6" spans="2:22" s="31" customFormat="1" ht="21" customHeight="1" thickTop="1" thickBot="1" x14ac:dyDescent="0.45">
      <c r="B6" s="48"/>
      <c r="C6" s="32"/>
      <c r="D6" s="32"/>
      <c r="E6" s="32"/>
      <c r="F6" s="32"/>
      <c r="O6" s="36"/>
      <c r="P6" s="36"/>
      <c r="Q6" s="85">
        <f>'Datos Cliente'!D7</f>
        <v>0</v>
      </c>
      <c r="R6" s="85"/>
      <c r="S6" s="85"/>
      <c r="T6" s="85"/>
      <c r="U6" s="30"/>
      <c r="V6" s="30"/>
    </row>
    <row r="7" spans="2:22" ht="15.75" customHeight="1" thickTop="1" x14ac:dyDescent="0.2">
      <c r="C7" s="37"/>
      <c r="D7" s="37"/>
      <c r="E7" s="38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</row>
    <row r="8" spans="2:22" s="61" customFormat="1" ht="15.75" customHeight="1" x14ac:dyDescent="0.2">
      <c r="C8" s="62"/>
      <c r="D8" s="63" t="s">
        <v>16</v>
      </c>
      <c r="E8" s="63" t="s">
        <v>15</v>
      </c>
      <c r="F8" s="64" t="s">
        <v>34</v>
      </c>
      <c r="G8" s="64" t="s">
        <v>23</v>
      </c>
      <c r="H8" s="64" t="s">
        <v>14</v>
      </c>
      <c r="I8" s="64" t="s">
        <v>21</v>
      </c>
      <c r="J8" s="64" t="s">
        <v>21</v>
      </c>
      <c r="K8" s="64" t="s">
        <v>21</v>
      </c>
      <c r="L8" s="64" t="s">
        <v>89</v>
      </c>
      <c r="M8" s="64" t="s">
        <v>89</v>
      </c>
      <c r="N8" s="64" t="s">
        <v>89</v>
      </c>
      <c r="O8" s="64" t="s">
        <v>89</v>
      </c>
      <c r="P8" s="64" t="s">
        <v>89</v>
      </c>
      <c r="Q8" s="64" t="s">
        <v>13</v>
      </c>
      <c r="R8" s="64" t="s">
        <v>13</v>
      </c>
      <c r="S8" s="64" t="s">
        <v>13</v>
      </c>
      <c r="T8" s="64" t="s">
        <v>13</v>
      </c>
      <c r="U8" s="64" t="s">
        <v>13</v>
      </c>
    </row>
    <row r="9" spans="2:22" ht="24.75" customHeight="1" x14ac:dyDescent="0.2">
      <c r="C9" s="40"/>
      <c r="D9" s="41" t="s">
        <v>24</v>
      </c>
      <c r="E9" s="42" t="s">
        <v>25</v>
      </c>
      <c r="F9" s="41" t="s">
        <v>22</v>
      </c>
      <c r="G9" s="41" t="s">
        <v>26</v>
      </c>
      <c r="H9" s="78" t="s">
        <v>27</v>
      </c>
      <c r="I9" s="79"/>
      <c r="J9" s="80"/>
      <c r="K9" s="81" t="s">
        <v>88</v>
      </c>
      <c r="L9" s="81"/>
      <c r="M9" s="81"/>
      <c r="N9" s="81"/>
      <c r="O9" s="81"/>
      <c r="P9" s="81" t="s">
        <v>28</v>
      </c>
      <c r="Q9" s="81"/>
      <c r="R9" s="81"/>
      <c r="S9" s="81"/>
      <c r="T9" s="81"/>
    </row>
    <row r="10" spans="2:22" ht="17.25" customHeight="1" x14ac:dyDescent="0.2">
      <c r="C10" s="43"/>
      <c r="D10" s="44">
        <v>1</v>
      </c>
      <c r="E10" s="44">
        <v>1</v>
      </c>
      <c r="F10" s="44">
        <v>1</v>
      </c>
      <c r="G10" s="44">
        <v>1</v>
      </c>
      <c r="H10" s="44">
        <v>1</v>
      </c>
      <c r="I10" s="44">
        <v>2</v>
      </c>
      <c r="J10" s="44">
        <v>3</v>
      </c>
      <c r="K10" s="44">
        <v>1</v>
      </c>
      <c r="L10" s="44">
        <v>2</v>
      </c>
      <c r="M10" s="44">
        <v>3</v>
      </c>
      <c r="N10" s="44">
        <v>4</v>
      </c>
      <c r="O10" s="44">
        <v>5</v>
      </c>
      <c r="P10" s="44">
        <v>1</v>
      </c>
      <c r="Q10" s="44">
        <v>2</v>
      </c>
      <c r="R10" s="44">
        <v>3</v>
      </c>
      <c r="S10" s="44">
        <v>4</v>
      </c>
      <c r="T10" s="44">
        <v>5</v>
      </c>
    </row>
    <row r="11" spans="2:22" x14ac:dyDescent="0.2">
      <c r="C11" s="40"/>
      <c r="D11" s="54" t="s">
        <v>18</v>
      </c>
      <c r="E11" s="54" t="s">
        <v>18</v>
      </c>
      <c r="F11" s="54" t="s">
        <v>18</v>
      </c>
      <c r="G11" s="54" t="s">
        <v>18</v>
      </c>
      <c r="H11" s="54" t="s">
        <v>18</v>
      </c>
      <c r="I11" s="54" t="s">
        <v>18</v>
      </c>
      <c r="J11" s="54" t="s">
        <v>18</v>
      </c>
      <c r="K11" s="54" t="s">
        <v>18</v>
      </c>
      <c r="L11" s="54" t="s">
        <v>18</v>
      </c>
      <c r="M11" s="54" t="s">
        <v>18</v>
      </c>
      <c r="N11" s="54" t="s">
        <v>18</v>
      </c>
      <c r="O11" s="54" t="s">
        <v>18</v>
      </c>
      <c r="P11" s="54" t="s">
        <v>18</v>
      </c>
      <c r="Q11" s="54" t="s">
        <v>18</v>
      </c>
      <c r="R11" s="54" t="s">
        <v>18</v>
      </c>
      <c r="S11" s="54" t="s">
        <v>18</v>
      </c>
      <c r="T11" s="54" t="s">
        <v>18</v>
      </c>
    </row>
    <row r="12" spans="2:22" ht="17.25" customHeight="1" x14ac:dyDescent="0.2">
      <c r="B12" s="65">
        <v>31</v>
      </c>
      <c r="C12" s="46" t="s">
        <v>108</v>
      </c>
      <c r="D12" s="69">
        <v>35.143500000000003</v>
      </c>
      <c r="E12" s="69">
        <v>36.291499999999999</v>
      </c>
      <c r="F12" s="69">
        <v>42.203499999999998</v>
      </c>
      <c r="G12" s="69">
        <v>44.161250000000003</v>
      </c>
      <c r="H12" s="69">
        <v>44.399249999999995</v>
      </c>
      <c r="I12" s="69">
        <v>43.251249999999999</v>
      </c>
      <c r="J12" s="69">
        <v>42.113500000000002</v>
      </c>
      <c r="K12" s="69">
        <v>45.750299999999996</v>
      </c>
      <c r="L12" s="69">
        <v>43.984250000000003</v>
      </c>
      <c r="M12" s="69">
        <v>42.824300000000001</v>
      </c>
      <c r="N12" s="69">
        <v>42.239100000000001</v>
      </c>
      <c r="O12" s="69">
        <v>41.643450000000001</v>
      </c>
      <c r="P12" s="69">
        <v>47.205500000000001</v>
      </c>
      <c r="Q12" s="69">
        <v>45.483499999999999</v>
      </c>
      <c r="R12" s="69">
        <v>44.335499999999996</v>
      </c>
      <c r="S12" s="69">
        <v>43.751249999999999</v>
      </c>
      <c r="T12" s="69">
        <v>43.177250000000001</v>
      </c>
      <c r="U12" s="46" t="s">
        <v>108</v>
      </c>
    </row>
    <row r="13" spans="2:22" ht="17.25" customHeight="1" x14ac:dyDescent="0.2">
      <c r="B13" s="65">
        <v>32</v>
      </c>
      <c r="C13" s="46" t="s">
        <v>109</v>
      </c>
      <c r="D13" s="69">
        <v>36.680999999999997</v>
      </c>
      <c r="E13" s="69">
        <v>37.870000000000005</v>
      </c>
      <c r="F13" s="69">
        <v>44.807000000000002</v>
      </c>
      <c r="G13" s="69">
        <v>48.343249999999998</v>
      </c>
      <c r="H13" s="69">
        <v>48.745249999999999</v>
      </c>
      <c r="I13" s="69">
        <v>46.930999999999997</v>
      </c>
      <c r="J13" s="69">
        <v>45.741999999999997</v>
      </c>
      <c r="K13" s="69">
        <v>49.700400000000002</v>
      </c>
      <c r="L13" s="69">
        <v>47.735799999999998</v>
      </c>
      <c r="M13" s="69">
        <v>46.523600000000002</v>
      </c>
      <c r="N13" s="69">
        <v>45.917499999999997</v>
      </c>
      <c r="O13" s="69">
        <v>45.30095</v>
      </c>
      <c r="P13" s="69">
        <v>51.039000000000001</v>
      </c>
      <c r="Q13" s="69">
        <v>49.245249999999999</v>
      </c>
      <c r="R13" s="69">
        <v>48.045999999999999</v>
      </c>
      <c r="S13" s="69">
        <v>47.430999999999997</v>
      </c>
      <c r="T13" s="69">
        <v>46.836500000000001</v>
      </c>
      <c r="U13" s="46" t="s">
        <v>109</v>
      </c>
    </row>
    <row r="14" spans="2:22" ht="17.25" customHeight="1" x14ac:dyDescent="0.2">
      <c r="B14" s="65">
        <v>33</v>
      </c>
      <c r="C14" s="46" t="s">
        <v>110</v>
      </c>
      <c r="D14" s="69">
        <v>37.685500000000005</v>
      </c>
      <c r="E14" s="69">
        <v>38.853999999999999</v>
      </c>
      <c r="F14" s="69">
        <v>46.21125</v>
      </c>
      <c r="G14" s="69">
        <v>50.403500000000001</v>
      </c>
      <c r="H14" s="69">
        <v>51.358999999999995</v>
      </c>
      <c r="I14" s="69">
        <v>49.606250000000003</v>
      </c>
      <c r="J14" s="69">
        <v>48.427499999999995</v>
      </c>
      <c r="K14" s="69">
        <v>52.856299999999997</v>
      </c>
      <c r="L14" s="69">
        <v>51.058900000000001</v>
      </c>
      <c r="M14" s="69">
        <v>49.857149999999997</v>
      </c>
      <c r="N14" s="69">
        <v>49.261499999999998</v>
      </c>
      <c r="O14" s="69">
        <v>48.6554</v>
      </c>
      <c r="P14" s="69">
        <v>54.216499999999996</v>
      </c>
      <c r="Q14" s="69">
        <v>52.453499999999998</v>
      </c>
      <c r="R14" s="69">
        <v>51.284999999999997</v>
      </c>
      <c r="S14" s="69">
        <v>50.6905</v>
      </c>
      <c r="T14" s="69">
        <v>50.106250000000003</v>
      </c>
      <c r="U14" s="46" t="s">
        <v>110</v>
      </c>
    </row>
    <row r="15" spans="2:22" ht="17.25" customHeight="1" x14ac:dyDescent="0.2">
      <c r="B15" s="65">
        <v>34</v>
      </c>
      <c r="C15" s="46" t="s">
        <v>111</v>
      </c>
      <c r="D15" s="69">
        <v>39.294750000000001</v>
      </c>
      <c r="E15" s="69">
        <v>40.524749999999997</v>
      </c>
      <c r="F15" s="69">
        <v>48.486750000000001</v>
      </c>
      <c r="G15" s="69">
        <v>53.550249999999998</v>
      </c>
      <c r="H15" s="69">
        <v>54.567250000000001</v>
      </c>
      <c r="I15" s="69">
        <v>52.742750000000001</v>
      </c>
      <c r="J15" s="69">
        <v>51.522999999999996</v>
      </c>
      <c r="K15" s="69">
        <v>56.148049999999998</v>
      </c>
      <c r="L15" s="69">
        <v>54.277499999999996</v>
      </c>
      <c r="M15" s="69">
        <v>53.033949999999997</v>
      </c>
      <c r="N15" s="69">
        <v>52.417400000000001</v>
      </c>
      <c r="O15" s="69">
        <v>51.790399999999998</v>
      </c>
      <c r="P15" s="69">
        <v>57.516999999999996</v>
      </c>
      <c r="Q15" s="69">
        <v>55.682249999999996</v>
      </c>
      <c r="R15" s="69">
        <v>54.462499999999999</v>
      </c>
      <c r="S15" s="69">
        <v>53.847499999999997</v>
      </c>
      <c r="T15" s="69">
        <v>53.242750000000001</v>
      </c>
      <c r="U15" s="46" t="s">
        <v>111</v>
      </c>
    </row>
    <row r="16" spans="2:22" ht="17.25" customHeight="1" x14ac:dyDescent="0.2">
      <c r="B16" s="65">
        <v>35</v>
      </c>
      <c r="C16" s="46" t="s">
        <v>112</v>
      </c>
      <c r="D16" s="69">
        <v>40.739999999999995</v>
      </c>
      <c r="E16" s="69">
        <v>41.929000000000002</v>
      </c>
      <c r="F16" s="69">
        <v>50.270249999999997</v>
      </c>
      <c r="G16" s="69">
        <v>55.917999999999999</v>
      </c>
      <c r="H16" s="69">
        <v>56.893999999999998</v>
      </c>
      <c r="I16" s="69">
        <v>55.120750000000001</v>
      </c>
      <c r="J16" s="69">
        <v>53.931750000000001</v>
      </c>
      <c r="K16" s="69">
        <v>58.499299999999998</v>
      </c>
      <c r="L16" s="69">
        <v>56.680999999999997</v>
      </c>
      <c r="M16" s="69">
        <v>55.47925</v>
      </c>
      <c r="N16" s="69">
        <v>54.873150000000003</v>
      </c>
      <c r="O16" s="69">
        <v>54.267049999999998</v>
      </c>
      <c r="P16" s="69">
        <v>59.771999999999998</v>
      </c>
      <c r="Q16" s="69">
        <v>57.988499999999995</v>
      </c>
      <c r="R16" s="69">
        <v>56.799499999999995</v>
      </c>
      <c r="S16" s="69">
        <v>56.204999999999998</v>
      </c>
      <c r="T16" s="69">
        <v>55.620750000000001</v>
      </c>
      <c r="U16" s="46" t="s">
        <v>112</v>
      </c>
    </row>
    <row r="17" spans="2:21" ht="17.25" customHeight="1" x14ac:dyDescent="0.2">
      <c r="B17" s="65">
        <v>1</v>
      </c>
      <c r="C17" s="46" t="s">
        <v>0</v>
      </c>
      <c r="D17" s="69">
        <v>37.518999999999998</v>
      </c>
      <c r="E17" s="69">
        <v>41.825249999999997</v>
      </c>
      <c r="F17" s="69">
        <v>50.205999999999996</v>
      </c>
      <c r="G17" s="69">
        <v>55.322000000000003</v>
      </c>
      <c r="H17" s="69">
        <v>55.396000000000001</v>
      </c>
      <c r="I17" s="69">
        <v>53.673999999999999</v>
      </c>
      <c r="J17" s="69">
        <v>52.515749999999997</v>
      </c>
      <c r="K17" s="69">
        <v>56.84845</v>
      </c>
      <c r="L17" s="69">
        <v>55.082399999999993</v>
      </c>
      <c r="M17" s="69">
        <v>52.73115</v>
      </c>
      <c r="N17" s="69">
        <v>52.145949999999999</v>
      </c>
      <c r="O17" s="69">
        <v>51.5503</v>
      </c>
      <c r="P17" s="69">
        <v>58.202249999999992</v>
      </c>
      <c r="Q17" s="69">
        <v>56.480249999999998</v>
      </c>
      <c r="R17" s="69">
        <v>54.173999999999999</v>
      </c>
      <c r="S17" s="69">
        <v>53.589749999999995</v>
      </c>
      <c r="T17" s="69">
        <v>53.015749999999997</v>
      </c>
      <c r="U17" s="46" t="s">
        <v>0</v>
      </c>
    </row>
    <row r="18" spans="2:21" ht="17.25" customHeight="1" x14ac:dyDescent="0.2">
      <c r="B18" s="65">
        <v>2</v>
      </c>
      <c r="C18" s="46" t="s">
        <v>1</v>
      </c>
      <c r="D18" s="69">
        <v>38.667000000000002</v>
      </c>
      <c r="E18" s="69">
        <v>42.983499999999999</v>
      </c>
      <c r="F18" s="69">
        <v>51.589749999999995</v>
      </c>
      <c r="G18" s="69">
        <v>57.054249999999996</v>
      </c>
      <c r="H18" s="69">
        <v>57.138499999999993</v>
      </c>
      <c r="I18" s="69">
        <v>55.980249999999998</v>
      </c>
      <c r="J18" s="69">
        <v>54.822000000000003</v>
      </c>
      <c r="K18" s="69">
        <v>60.380549999999999</v>
      </c>
      <c r="L18" s="69">
        <v>58.604050000000001</v>
      </c>
      <c r="M18" s="69">
        <v>55.082399999999993</v>
      </c>
      <c r="N18" s="69">
        <v>55.082399999999993</v>
      </c>
      <c r="O18" s="69">
        <v>53.90155</v>
      </c>
      <c r="P18" s="69">
        <v>61.666749999999993</v>
      </c>
      <c r="Q18" s="69">
        <v>59.944749999999999</v>
      </c>
      <c r="R18" s="69">
        <v>57.054249999999996</v>
      </c>
      <c r="S18" s="69">
        <v>56.480249999999998</v>
      </c>
      <c r="T18" s="69">
        <v>55.322000000000003</v>
      </c>
      <c r="U18" s="46" t="s">
        <v>1</v>
      </c>
    </row>
    <row r="19" spans="2:21" ht="17.25" customHeight="1" x14ac:dyDescent="0.2">
      <c r="B19" s="65">
        <v>3</v>
      </c>
      <c r="C19" s="46" t="s">
        <v>2</v>
      </c>
      <c r="D19" s="69">
        <v>39.896999999999998</v>
      </c>
      <c r="E19" s="69">
        <v>44.203249999999997</v>
      </c>
      <c r="F19" s="69">
        <v>53.322000000000003</v>
      </c>
      <c r="G19" s="69">
        <v>59.421999999999997</v>
      </c>
      <c r="H19" s="69">
        <v>59.495999999999995</v>
      </c>
      <c r="I19" s="69">
        <v>58.347999999999999</v>
      </c>
      <c r="J19" s="69">
        <v>57.189749999999997</v>
      </c>
      <c r="K19" s="69">
        <v>63.9649</v>
      </c>
      <c r="L19" s="69">
        <v>62.209299999999999</v>
      </c>
      <c r="M19" s="69">
        <v>58.081549999999993</v>
      </c>
      <c r="N19" s="69">
        <v>57.49635</v>
      </c>
      <c r="O19" s="69">
        <v>56.900700000000001</v>
      </c>
      <c r="P19" s="69">
        <v>64.608499999999992</v>
      </c>
      <c r="Q19" s="69">
        <v>63.460499999999996</v>
      </c>
      <c r="R19" s="69">
        <v>59.421999999999997</v>
      </c>
      <c r="S19" s="69">
        <v>58.847999999999999</v>
      </c>
      <c r="T19" s="69">
        <v>58.274000000000001</v>
      </c>
      <c r="U19" s="46" t="s">
        <v>2</v>
      </c>
    </row>
    <row r="20" spans="2:21" ht="17.25" customHeight="1" x14ac:dyDescent="0.2">
      <c r="B20" s="65">
        <v>4</v>
      </c>
      <c r="C20" s="46" t="s">
        <v>3</v>
      </c>
      <c r="D20" s="69">
        <v>43.361499999999999</v>
      </c>
      <c r="E20" s="69">
        <v>47.667749999999998</v>
      </c>
      <c r="F20" s="69">
        <v>55.864000000000004</v>
      </c>
      <c r="G20" s="69">
        <v>60.580249999999992</v>
      </c>
      <c r="H20" s="69">
        <v>62.386499999999998</v>
      </c>
      <c r="I20" s="69">
        <v>61.802250000000001</v>
      </c>
      <c r="J20" s="69">
        <v>61.238499999999995</v>
      </c>
      <c r="K20" s="69">
        <v>68.677850000000007</v>
      </c>
      <c r="L20" s="69">
        <v>66.911799999999999</v>
      </c>
      <c r="M20" s="69">
        <v>62.784049999999993</v>
      </c>
      <c r="N20" s="69">
        <v>62.209299999999999</v>
      </c>
      <c r="O20" s="69">
        <v>61.028449999999999</v>
      </c>
      <c r="P20" s="69">
        <v>69.805250000000001</v>
      </c>
      <c r="Q20" s="69">
        <v>68.083249999999992</v>
      </c>
      <c r="R20" s="69">
        <v>63.460499999999996</v>
      </c>
      <c r="S20" s="69">
        <v>62.886499999999998</v>
      </c>
      <c r="T20" s="69">
        <v>62.302250000000001</v>
      </c>
      <c r="U20" s="46" t="s">
        <v>3</v>
      </c>
    </row>
    <row r="21" spans="2:21" ht="17.25" customHeight="1" x14ac:dyDescent="0.2">
      <c r="B21" s="65">
        <v>5</v>
      </c>
      <c r="C21" s="46" t="s">
        <v>4</v>
      </c>
      <c r="D21" s="69">
        <v>44.827249999999999</v>
      </c>
      <c r="E21" s="69">
        <v>49.184750000000001</v>
      </c>
      <c r="F21" s="69">
        <v>57.65775</v>
      </c>
      <c r="G21" s="69">
        <v>62.77375</v>
      </c>
      <c r="H21" s="69">
        <v>65.215499999999992</v>
      </c>
      <c r="I21" s="69">
        <v>64.631249999999994</v>
      </c>
      <c r="J21" s="69">
        <v>64.036749999999998</v>
      </c>
      <c r="K21" s="69">
        <v>72.857849999999985</v>
      </c>
      <c r="L21" s="69">
        <v>71.05</v>
      </c>
      <c r="M21" s="69">
        <v>66.263900000000007</v>
      </c>
      <c r="N21" s="69">
        <v>65.66825</v>
      </c>
      <c r="O21" s="69">
        <v>65.062150000000003</v>
      </c>
      <c r="P21" s="69">
        <v>73.946249999999992</v>
      </c>
      <c r="Q21" s="69">
        <v>72.183249999999987</v>
      </c>
      <c r="R21" s="69">
        <v>67.488749999999996</v>
      </c>
      <c r="S21" s="69">
        <v>66.89425</v>
      </c>
      <c r="T21" s="69">
        <v>66.31</v>
      </c>
      <c r="U21" s="46" t="s">
        <v>4</v>
      </c>
    </row>
    <row r="22" spans="2:21" ht="17.25" customHeight="1" x14ac:dyDescent="0.2">
      <c r="B22" s="65">
        <v>6</v>
      </c>
      <c r="C22" s="46" t="s">
        <v>5</v>
      </c>
      <c r="D22" s="69">
        <v>45.421750000000003</v>
      </c>
      <c r="E22" s="69">
        <v>50.947749999999999</v>
      </c>
      <c r="F22" s="69">
        <v>61.070999999999998</v>
      </c>
      <c r="G22" s="69">
        <v>68.657249999999991</v>
      </c>
      <c r="H22" s="69">
        <v>70.504499999999993</v>
      </c>
      <c r="I22" s="69">
        <v>69.91</v>
      </c>
      <c r="J22" s="69">
        <v>69.335999999999999</v>
      </c>
      <c r="K22" s="69">
        <v>78.856149999999985</v>
      </c>
      <c r="L22" s="69">
        <v>76.463099999999997</v>
      </c>
      <c r="M22" s="69">
        <v>71.656099999999995</v>
      </c>
      <c r="N22" s="69">
        <v>71.05</v>
      </c>
      <c r="O22" s="69">
        <v>69.858699999999999</v>
      </c>
      <c r="P22" s="69">
        <v>83.35575</v>
      </c>
      <c r="Q22" s="69">
        <v>80.998249999999985</v>
      </c>
      <c r="R22" s="69">
        <v>75.719499999999996</v>
      </c>
      <c r="S22" s="69">
        <v>75.125</v>
      </c>
      <c r="T22" s="69">
        <v>73.946249999999992</v>
      </c>
      <c r="U22" s="46" t="s">
        <v>5</v>
      </c>
    </row>
    <row r="23" spans="2:21" ht="17.25" customHeight="1" x14ac:dyDescent="0.2">
      <c r="B23" s="65">
        <v>7</v>
      </c>
      <c r="C23" s="46" t="s">
        <v>6</v>
      </c>
      <c r="D23" s="69">
        <v>46.231499999999997</v>
      </c>
      <c r="E23" s="69">
        <v>51.695999999999998</v>
      </c>
      <c r="F23" s="69">
        <v>64.053749999999994</v>
      </c>
      <c r="G23" s="69">
        <v>74.991749999999996</v>
      </c>
      <c r="H23" s="69">
        <v>77.966499999999996</v>
      </c>
      <c r="I23" s="69">
        <v>77.392499999999984</v>
      </c>
      <c r="J23" s="69">
        <v>76.808249999999987</v>
      </c>
      <c r="K23" s="69">
        <v>89.264349999999993</v>
      </c>
      <c r="L23" s="69">
        <v>86.913099999999986</v>
      </c>
      <c r="M23" s="69">
        <v>81.604500000000002</v>
      </c>
      <c r="N23" s="69">
        <v>81.040199999999999</v>
      </c>
      <c r="O23" s="69">
        <v>79.859350000000006</v>
      </c>
      <c r="P23" s="69">
        <v>93.462249999999997</v>
      </c>
      <c r="Q23" s="69">
        <v>91.156000000000006</v>
      </c>
      <c r="R23" s="69">
        <v>85.385249999999985</v>
      </c>
      <c r="S23" s="69">
        <v>84.8215</v>
      </c>
      <c r="T23" s="69">
        <v>83.663250000000005</v>
      </c>
      <c r="U23" s="46" t="s">
        <v>6</v>
      </c>
    </row>
    <row r="24" spans="2:21" ht="17.25" customHeight="1" x14ac:dyDescent="0.2">
      <c r="B24" s="65">
        <v>8</v>
      </c>
      <c r="C24" s="46" t="s">
        <v>7</v>
      </c>
      <c r="D24" s="69">
        <v>52.606999999999999</v>
      </c>
      <c r="E24" s="69">
        <v>61.689749999999997</v>
      </c>
      <c r="F24" s="69">
        <v>77.030249999999995</v>
      </c>
      <c r="G24" s="69">
        <v>92.447499999999991</v>
      </c>
      <c r="H24" s="69">
        <v>103.17125</v>
      </c>
      <c r="I24" s="69">
        <v>102.57674999999999</v>
      </c>
      <c r="J24" s="69">
        <v>101.98224999999999</v>
      </c>
      <c r="K24" s="69">
        <v>121.83699999999999</v>
      </c>
      <c r="L24" s="69">
        <v>119.42305</v>
      </c>
      <c r="M24" s="69">
        <v>112.79774999999999</v>
      </c>
      <c r="N24" s="69">
        <v>111.58555</v>
      </c>
      <c r="O24" s="69">
        <v>109.78814999999999</v>
      </c>
      <c r="P24" s="69">
        <v>123.76124999999999</v>
      </c>
      <c r="Q24" s="69">
        <v>121.98799999999999</v>
      </c>
      <c r="R24" s="69">
        <v>114.31074999999998</v>
      </c>
      <c r="S24" s="69">
        <v>113.13200000000001</v>
      </c>
      <c r="T24" s="69">
        <v>111.35875</v>
      </c>
      <c r="U24" s="46" t="s">
        <v>7</v>
      </c>
    </row>
    <row r="25" spans="2:21" ht="17.25" customHeight="1" x14ac:dyDescent="0.2">
      <c r="B25" s="65">
        <v>9</v>
      </c>
      <c r="C25" s="46" t="s">
        <v>8</v>
      </c>
      <c r="D25" s="69">
        <v>72.985250000000008</v>
      </c>
      <c r="E25" s="69">
        <v>87.11999999999999</v>
      </c>
      <c r="F25" s="69">
        <v>108.69374999999999</v>
      </c>
      <c r="G25" s="69">
        <v>129.59924999999998</v>
      </c>
      <c r="H25" s="69">
        <v>141.06099999999998</v>
      </c>
      <c r="I25" s="69">
        <v>140.51774999999998</v>
      </c>
      <c r="J25" s="69">
        <v>139.97449999999998</v>
      </c>
      <c r="K25" s="69">
        <v>165.75514999999999</v>
      </c>
      <c r="L25" s="69">
        <v>162.97545</v>
      </c>
      <c r="M25" s="69">
        <v>160.2062</v>
      </c>
      <c r="N25" s="69">
        <v>155.77539999999999</v>
      </c>
      <c r="O25" s="69">
        <v>153.54954999999998</v>
      </c>
      <c r="P25" s="69">
        <v>190.51499999999999</v>
      </c>
      <c r="Q25" s="69">
        <v>187.24525</v>
      </c>
      <c r="R25" s="69">
        <v>185.07225</v>
      </c>
      <c r="S25" s="69">
        <v>179.08625000000001</v>
      </c>
      <c r="T25" s="69">
        <v>174.73000000000002</v>
      </c>
      <c r="U25" s="46" t="s">
        <v>8</v>
      </c>
    </row>
    <row r="26" spans="2:21" ht="17.25" customHeight="1" x14ac:dyDescent="0.2">
      <c r="B26" s="65">
        <v>10</v>
      </c>
      <c r="C26" s="46" t="s">
        <v>9</v>
      </c>
      <c r="D26" s="69">
        <v>74.615000000000009</v>
      </c>
      <c r="E26" s="69">
        <v>89.846499999999992</v>
      </c>
      <c r="F26" s="69">
        <v>111.41</v>
      </c>
      <c r="G26" s="69">
        <v>132.31549999999999</v>
      </c>
      <c r="H26" s="69">
        <v>146.49349999999998</v>
      </c>
      <c r="I26" s="69">
        <v>145.95024999999998</v>
      </c>
      <c r="J26" s="69">
        <v>145.40699999999998</v>
      </c>
      <c r="K26" s="69">
        <v>177.38600000000002</v>
      </c>
      <c r="L26" s="69">
        <v>174.61674999999997</v>
      </c>
      <c r="M26" s="69">
        <v>171.29365000000001</v>
      </c>
      <c r="N26" s="69">
        <v>163.52929999999998</v>
      </c>
      <c r="O26" s="69">
        <v>159.65234999999998</v>
      </c>
      <c r="P26" s="69">
        <v>202.4665</v>
      </c>
      <c r="Q26" s="69">
        <v>199.75024999999999</v>
      </c>
      <c r="R26" s="69">
        <v>197.03399999999999</v>
      </c>
      <c r="S26" s="69">
        <v>186.702</v>
      </c>
      <c r="T26" s="69">
        <v>181.81274999999999</v>
      </c>
      <c r="U26" s="46" t="s">
        <v>9</v>
      </c>
    </row>
    <row r="27" spans="2:21" ht="17.25" customHeight="1" x14ac:dyDescent="0.2">
      <c r="B27" s="65">
        <v>11</v>
      </c>
      <c r="C27" s="46" t="s">
        <v>56</v>
      </c>
      <c r="D27" s="69">
        <v>16</v>
      </c>
      <c r="E27" s="69">
        <v>19</v>
      </c>
      <c r="F27" s="69">
        <v>27</v>
      </c>
      <c r="G27" s="69">
        <v>27</v>
      </c>
      <c r="H27" s="69">
        <v>27</v>
      </c>
      <c r="I27" s="69">
        <v>27</v>
      </c>
      <c r="J27" s="69">
        <v>27</v>
      </c>
      <c r="K27" s="69">
        <v>27</v>
      </c>
      <c r="L27" s="69">
        <v>27</v>
      </c>
      <c r="M27" s="69">
        <v>27</v>
      </c>
      <c r="N27" s="69">
        <v>27</v>
      </c>
      <c r="O27" s="69">
        <v>27</v>
      </c>
      <c r="P27" s="69">
        <v>27</v>
      </c>
      <c r="Q27" s="69">
        <v>27</v>
      </c>
      <c r="R27" s="69">
        <v>27</v>
      </c>
      <c r="S27" s="69">
        <v>27</v>
      </c>
      <c r="T27" s="69">
        <v>27</v>
      </c>
      <c r="U27" s="46" t="s">
        <v>56</v>
      </c>
    </row>
    <row r="28" spans="2:21" ht="17.25" customHeight="1" x14ac:dyDescent="0.2">
      <c r="B28" s="65">
        <v>12</v>
      </c>
      <c r="C28" s="46" t="s">
        <v>57</v>
      </c>
      <c r="D28" s="69">
        <v>27</v>
      </c>
      <c r="E28" s="69">
        <v>27</v>
      </c>
      <c r="F28" s="69">
        <v>27</v>
      </c>
      <c r="G28" s="69">
        <v>27</v>
      </c>
      <c r="H28" s="69">
        <v>27</v>
      </c>
      <c r="I28" s="69">
        <v>27</v>
      </c>
      <c r="J28" s="69">
        <v>27</v>
      </c>
      <c r="K28" s="69">
        <v>31</v>
      </c>
      <c r="L28" s="69">
        <v>31</v>
      </c>
      <c r="M28" s="69">
        <v>31</v>
      </c>
      <c r="N28" s="69">
        <v>31</v>
      </c>
      <c r="O28" s="69">
        <v>31</v>
      </c>
      <c r="P28" s="69">
        <v>37</v>
      </c>
      <c r="Q28" s="69">
        <v>37</v>
      </c>
      <c r="R28" s="69">
        <v>37</v>
      </c>
      <c r="S28" s="69">
        <v>37</v>
      </c>
      <c r="T28" s="69">
        <v>37</v>
      </c>
      <c r="U28" s="46" t="s">
        <v>57</v>
      </c>
    </row>
    <row r="29" spans="2:21" ht="17.25" customHeight="1" x14ac:dyDescent="0.2">
      <c r="B29" s="65">
        <v>13</v>
      </c>
    </row>
    <row r="30" spans="2:21" ht="17.25" customHeight="1" x14ac:dyDescent="0.2">
      <c r="B30" s="65">
        <v>14</v>
      </c>
    </row>
    <row r="31" spans="2:21" ht="20.25" customHeight="1" x14ac:dyDescent="0.2">
      <c r="C31" s="40"/>
      <c r="D31" s="47"/>
      <c r="E31" s="47"/>
      <c r="I31" s="48"/>
      <c r="J31" s="48"/>
      <c r="K31" s="48"/>
      <c r="L31" s="48"/>
      <c r="M31" s="48"/>
      <c r="N31" s="48"/>
    </row>
    <row r="32" spans="2:21" ht="14.25" customHeight="1" x14ac:dyDescent="0.2">
      <c r="C32" s="55" t="s">
        <v>113</v>
      </c>
      <c r="D32" s="56" t="s">
        <v>59</v>
      </c>
      <c r="E32" s="56"/>
      <c r="F32" s="56"/>
      <c r="G32" s="56"/>
      <c r="H32" s="56"/>
      <c r="I32" s="56"/>
      <c r="J32" s="56"/>
      <c r="K32" s="56"/>
      <c r="L32" s="48"/>
      <c r="M32" s="48"/>
      <c r="N32" s="48"/>
    </row>
    <row r="33" spans="2:17" ht="14.25" customHeight="1" x14ac:dyDescent="0.2">
      <c r="C33" s="55" t="s">
        <v>114</v>
      </c>
      <c r="D33" s="56" t="s">
        <v>103</v>
      </c>
      <c r="E33" s="56"/>
      <c r="F33" s="56"/>
      <c r="G33" s="56"/>
      <c r="H33" s="56"/>
      <c r="I33" s="56"/>
      <c r="J33" s="56"/>
      <c r="K33" s="56"/>
      <c r="L33" s="48"/>
      <c r="M33" s="48"/>
      <c r="N33" s="48"/>
    </row>
    <row r="34" spans="2:17" ht="14.25" customHeight="1" x14ac:dyDescent="0.2">
      <c r="C34" s="55" t="s">
        <v>115</v>
      </c>
      <c r="D34" s="57" t="s">
        <v>107</v>
      </c>
      <c r="E34" s="57"/>
      <c r="F34" s="57"/>
      <c r="G34" s="57"/>
      <c r="H34" s="57"/>
      <c r="I34" s="57"/>
      <c r="J34" s="57"/>
      <c r="K34" s="57"/>
      <c r="L34" s="48"/>
      <c r="M34" s="48"/>
      <c r="N34" s="48"/>
    </row>
    <row r="35" spans="2:17" ht="14.25" customHeight="1" x14ac:dyDescent="0.2">
      <c r="C35" s="55" t="s">
        <v>116</v>
      </c>
      <c r="D35" s="57" t="s">
        <v>90</v>
      </c>
      <c r="E35" s="57"/>
      <c r="F35" s="57"/>
      <c r="G35" s="57"/>
      <c r="H35" s="57"/>
      <c r="I35" s="57"/>
      <c r="J35" s="57"/>
      <c r="K35" s="57"/>
      <c r="L35" s="48"/>
      <c r="M35" s="48"/>
      <c r="N35" s="48"/>
    </row>
    <row r="36" spans="2:17" ht="14.25" customHeight="1" x14ac:dyDescent="0.2">
      <c r="C36" s="55" t="s">
        <v>117</v>
      </c>
      <c r="D36" s="57" t="s">
        <v>91</v>
      </c>
      <c r="E36" s="57"/>
      <c r="F36" s="57"/>
      <c r="G36" s="57"/>
      <c r="H36" s="57"/>
      <c r="I36" s="57"/>
      <c r="J36" s="57"/>
      <c r="K36" s="57"/>
      <c r="L36" s="48"/>
      <c r="M36" s="48"/>
      <c r="N36" s="48"/>
    </row>
    <row r="37" spans="2:17" ht="14.25" customHeight="1" x14ac:dyDescent="0.2">
      <c r="C37" s="55" t="s">
        <v>58</v>
      </c>
      <c r="D37" s="56" t="s">
        <v>96</v>
      </c>
      <c r="E37" s="56"/>
      <c r="F37" s="56"/>
      <c r="G37" s="56"/>
      <c r="H37" s="56"/>
      <c r="I37" s="56"/>
      <c r="J37" s="56"/>
      <c r="K37" s="56"/>
      <c r="L37" s="48"/>
      <c r="M37" s="48"/>
      <c r="N37" s="48"/>
    </row>
    <row r="38" spans="2:17" ht="14.25" customHeight="1" x14ac:dyDescent="0.2">
      <c r="C38" s="58" t="s">
        <v>60</v>
      </c>
      <c r="D38" s="59" t="s">
        <v>95</v>
      </c>
      <c r="E38" s="59"/>
      <c r="F38" s="59"/>
      <c r="G38" s="59"/>
      <c r="H38" s="59"/>
      <c r="I38" s="59"/>
      <c r="J38" s="59"/>
      <c r="K38" s="59"/>
      <c r="L38" s="48"/>
      <c r="M38" s="48"/>
      <c r="N38" s="48"/>
    </row>
    <row r="39" spans="2:17" ht="14.25" customHeight="1" x14ac:dyDescent="0.2">
      <c r="C39" s="55"/>
      <c r="D39" s="56" t="s">
        <v>66</v>
      </c>
      <c r="E39" s="56"/>
      <c r="F39" s="56"/>
      <c r="G39" s="56"/>
      <c r="H39" s="56"/>
      <c r="I39" s="56"/>
      <c r="J39" s="56"/>
      <c r="K39" s="56"/>
      <c r="L39" s="48"/>
      <c r="M39" s="48"/>
      <c r="N39" s="48"/>
    </row>
    <row r="40" spans="2:17" ht="14.25" customHeight="1" x14ac:dyDescent="0.2">
      <c r="C40" s="55" t="s">
        <v>61</v>
      </c>
      <c r="D40" s="56" t="s">
        <v>68</v>
      </c>
      <c r="E40" s="56"/>
      <c r="F40" s="56"/>
      <c r="G40" s="56"/>
      <c r="H40" s="56"/>
      <c r="I40" s="56"/>
      <c r="J40" s="56"/>
      <c r="K40" s="56"/>
      <c r="L40" s="48"/>
      <c r="M40" s="48"/>
      <c r="N40" s="48"/>
    </row>
    <row r="41" spans="2:17" ht="14.25" customHeight="1" x14ac:dyDescent="0.2">
      <c r="C41" s="55" t="s">
        <v>62</v>
      </c>
      <c r="D41" s="56" t="s">
        <v>98</v>
      </c>
      <c r="E41" s="56"/>
      <c r="F41" s="56"/>
      <c r="G41" s="56"/>
      <c r="H41" s="56"/>
      <c r="I41" s="56"/>
      <c r="J41" s="56"/>
      <c r="K41" s="56"/>
      <c r="L41" s="48"/>
      <c r="M41" s="48"/>
      <c r="N41" s="48"/>
    </row>
    <row r="42" spans="2:17" ht="14.25" customHeight="1" x14ac:dyDescent="0.2">
      <c r="C42" s="58" t="s">
        <v>63</v>
      </c>
      <c r="D42" s="60" t="s">
        <v>104</v>
      </c>
      <c r="E42" s="60"/>
      <c r="F42" s="60"/>
      <c r="G42" s="60"/>
      <c r="H42" s="60"/>
      <c r="I42" s="60"/>
      <c r="J42" s="60"/>
      <c r="K42" s="60"/>
      <c r="L42" s="48"/>
      <c r="M42" s="48"/>
      <c r="N42" s="48"/>
    </row>
    <row r="43" spans="2:17" ht="14.25" customHeight="1" x14ac:dyDescent="0.2">
      <c r="C43" s="55"/>
      <c r="D43" s="56" t="s">
        <v>100</v>
      </c>
      <c r="E43" s="56"/>
      <c r="F43" s="56"/>
      <c r="G43" s="56"/>
      <c r="H43" s="56"/>
      <c r="I43" s="56"/>
      <c r="J43" s="56"/>
      <c r="K43" s="56"/>
      <c r="L43" s="48"/>
      <c r="M43" s="48"/>
      <c r="N43" s="48"/>
    </row>
    <row r="44" spans="2:17" ht="14.25" customHeight="1" x14ac:dyDescent="0.2">
      <c r="C44" s="58" t="s">
        <v>64</v>
      </c>
      <c r="D44" s="60" t="s">
        <v>93</v>
      </c>
      <c r="E44" s="60"/>
      <c r="F44" s="60"/>
      <c r="G44" s="60"/>
      <c r="H44" s="60"/>
      <c r="I44" s="60"/>
      <c r="J44" s="60"/>
      <c r="K44" s="60"/>
      <c r="L44" s="48"/>
      <c r="M44" s="48"/>
      <c r="N44" s="48"/>
    </row>
    <row r="45" spans="2:17" s="31" customFormat="1" ht="14.25" customHeight="1" x14ac:dyDescent="0.2">
      <c r="B45" s="48"/>
      <c r="C45" s="58"/>
      <c r="D45" s="66" t="s">
        <v>97</v>
      </c>
      <c r="E45" s="60"/>
      <c r="F45" s="60"/>
      <c r="G45" s="60"/>
      <c r="H45" s="60"/>
      <c r="I45" s="60"/>
      <c r="J45" s="60"/>
      <c r="K45" s="60"/>
      <c r="L45" s="48"/>
      <c r="M45" s="48"/>
      <c r="N45" s="48"/>
      <c r="O45" s="30"/>
      <c r="P45" s="30"/>
      <c r="Q45" s="30"/>
    </row>
    <row r="46" spans="2:17" s="31" customFormat="1" ht="14.25" customHeight="1" x14ac:dyDescent="0.2">
      <c r="B46" s="48"/>
      <c r="C46" s="58"/>
      <c r="D46" s="66" t="s">
        <v>92</v>
      </c>
      <c r="E46" s="60"/>
      <c r="F46" s="60"/>
      <c r="G46" s="60"/>
      <c r="H46" s="60"/>
      <c r="I46" s="60"/>
      <c r="J46" s="60"/>
      <c r="K46" s="60"/>
      <c r="L46" s="48"/>
      <c r="M46" s="48"/>
      <c r="N46" s="48"/>
      <c r="O46" s="30"/>
      <c r="P46" s="30"/>
      <c r="Q46" s="30"/>
    </row>
    <row r="47" spans="2:17" s="31" customFormat="1" ht="14.25" customHeight="1" x14ac:dyDescent="0.2">
      <c r="B47" s="48"/>
      <c r="C47" s="58"/>
      <c r="D47" s="60" t="s">
        <v>86</v>
      </c>
      <c r="E47" s="60"/>
      <c r="F47" s="60"/>
      <c r="G47" s="60"/>
      <c r="H47" s="60"/>
      <c r="I47" s="60"/>
      <c r="J47" s="60"/>
      <c r="K47" s="60"/>
      <c r="L47" s="48"/>
      <c r="M47" s="48"/>
      <c r="N47" s="48"/>
      <c r="O47" s="30"/>
      <c r="P47" s="30"/>
      <c r="Q47" s="30"/>
    </row>
    <row r="48" spans="2:17" s="31" customFormat="1" ht="14.25" customHeight="1" x14ac:dyDescent="0.2">
      <c r="B48" s="48"/>
      <c r="C48" s="58"/>
      <c r="D48" s="60" t="s">
        <v>99</v>
      </c>
      <c r="E48" s="60"/>
      <c r="F48" s="60"/>
      <c r="G48" s="60"/>
      <c r="H48" s="60"/>
      <c r="I48" s="60"/>
      <c r="J48" s="60"/>
      <c r="K48" s="60"/>
    </row>
    <row r="49" spans="2:20" s="31" customFormat="1" ht="14.25" customHeight="1" x14ac:dyDescent="0.2">
      <c r="B49" s="48"/>
      <c r="C49" s="55"/>
      <c r="D49" s="56" t="s">
        <v>87</v>
      </c>
      <c r="E49" s="56"/>
      <c r="F49" s="56"/>
      <c r="G49" s="56"/>
      <c r="H49" s="56"/>
      <c r="I49" s="56"/>
      <c r="J49" s="56"/>
      <c r="K49" s="56"/>
    </row>
    <row r="50" spans="2:20" s="31" customFormat="1" ht="14.25" customHeight="1" x14ac:dyDescent="0.2">
      <c r="B50" s="48"/>
      <c r="C50" s="58" t="s">
        <v>65</v>
      </c>
      <c r="D50" s="60" t="s">
        <v>101</v>
      </c>
      <c r="E50" s="60"/>
      <c r="F50" s="60"/>
      <c r="G50" s="60"/>
      <c r="H50" s="60"/>
      <c r="I50" s="60"/>
      <c r="J50" s="60"/>
      <c r="K50" s="60"/>
    </row>
    <row r="51" spans="2:20" s="31" customFormat="1" ht="14.25" customHeight="1" x14ac:dyDescent="0.2">
      <c r="B51" s="48"/>
      <c r="C51" s="58"/>
      <c r="D51" s="60" t="s">
        <v>73</v>
      </c>
      <c r="E51" s="60"/>
      <c r="F51" s="60"/>
      <c r="G51" s="60"/>
      <c r="H51" s="60"/>
      <c r="I51" s="60"/>
      <c r="J51" s="60"/>
      <c r="K51" s="60"/>
    </row>
    <row r="52" spans="2:20" s="31" customFormat="1" ht="14.25" customHeight="1" x14ac:dyDescent="0.2">
      <c r="B52" s="48"/>
      <c r="C52" s="55"/>
      <c r="D52" s="56" t="s">
        <v>74</v>
      </c>
      <c r="E52" s="56"/>
      <c r="F52" s="56"/>
      <c r="G52" s="56"/>
      <c r="H52" s="56"/>
      <c r="I52" s="56"/>
      <c r="J52" s="56"/>
      <c r="K52" s="56"/>
    </row>
    <row r="53" spans="2:20" s="31" customFormat="1" ht="14.25" customHeight="1" x14ac:dyDescent="0.2">
      <c r="B53" s="48"/>
      <c r="C53" s="55" t="s">
        <v>67</v>
      </c>
      <c r="D53" s="56" t="s">
        <v>76</v>
      </c>
      <c r="E53" s="56"/>
      <c r="F53" s="56"/>
      <c r="G53" s="56"/>
      <c r="H53" s="56"/>
      <c r="I53" s="56"/>
      <c r="J53" s="56"/>
      <c r="K53" s="56"/>
    </row>
    <row r="54" spans="2:20" s="31" customFormat="1" ht="14.25" customHeight="1" x14ac:dyDescent="0.2">
      <c r="B54" s="48"/>
      <c r="C54" s="55" t="s">
        <v>69</v>
      </c>
      <c r="D54" s="56" t="s">
        <v>78</v>
      </c>
      <c r="E54" s="56"/>
      <c r="F54" s="56"/>
      <c r="G54" s="56"/>
      <c r="H54" s="56"/>
      <c r="I54" s="56"/>
      <c r="J54" s="56"/>
      <c r="K54" s="56"/>
    </row>
    <row r="55" spans="2:20" s="31" customFormat="1" ht="14.25" customHeight="1" x14ac:dyDescent="0.2">
      <c r="B55" s="48"/>
      <c r="C55" s="55" t="s">
        <v>70</v>
      </c>
      <c r="D55" s="56" t="s">
        <v>79</v>
      </c>
      <c r="E55" s="56"/>
      <c r="F55" s="56"/>
      <c r="G55" s="56"/>
      <c r="H55" s="56"/>
      <c r="I55" s="56"/>
      <c r="J55" s="56"/>
      <c r="K55" s="56"/>
    </row>
    <row r="56" spans="2:20" s="31" customFormat="1" ht="14.25" customHeight="1" x14ac:dyDescent="0.2">
      <c r="B56" s="48"/>
      <c r="C56" s="55" t="s">
        <v>80</v>
      </c>
      <c r="D56" s="56" t="s">
        <v>105</v>
      </c>
      <c r="E56" s="56"/>
      <c r="F56" s="56"/>
      <c r="G56" s="56"/>
      <c r="H56" s="56"/>
      <c r="I56" s="56"/>
      <c r="J56" s="56"/>
      <c r="K56" s="56"/>
    </row>
    <row r="57" spans="2:20" s="31" customFormat="1" ht="14.25" customHeight="1" x14ac:dyDescent="0.2">
      <c r="B57" s="48"/>
      <c r="C57" s="55" t="s">
        <v>82</v>
      </c>
      <c r="D57" s="56" t="s">
        <v>106</v>
      </c>
      <c r="E57" s="56"/>
      <c r="F57" s="56"/>
      <c r="G57" s="56"/>
      <c r="H57" s="56"/>
      <c r="I57" s="56"/>
      <c r="J57" s="56"/>
      <c r="K57" s="56"/>
    </row>
    <row r="58" spans="2:20" s="31" customFormat="1" ht="14.25" customHeight="1" x14ac:dyDescent="0.2">
      <c r="B58" s="48"/>
      <c r="C58" s="55"/>
      <c r="D58" s="56"/>
      <c r="E58" s="56"/>
      <c r="F58" s="56"/>
      <c r="G58" s="56"/>
      <c r="H58" s="56"/>
      <c r="I58" s="56"/>
      <c r="J58" s="56"/>
      <c r="K58" s="56"/>
    </row>
    <row r="59" spans="2:20" s="31" customFormat="1" ht="10.5" customHeight="1" x14ac:dyDescent="0.2">
      <c r="B59" s="48"/>
      <c r="C59" s="55"/>
      <c r="D59" s="56"/>
      <c r="E59" s="56"/>
      <c r="F59" s="56"/>
      <c r="G59" s="56"/>
      <c r="H59" s="56"/>
      <c r="I59" s="56"/>
      <c r="J59" s="56"/>
      <c r="K59" s="56"/>
    </row>
    <row r="60" spans="2:20" s="31" customFormat="1" ht="10.5" customHeight="1" x14ac:dyDescent="0.2">
      <c r="B60" s="48"/>
      <c r="C60" s="49"/>
      <c r="D60" s="50"/>
      <c r="E60" s="50"/>
      <c r="F60" s="50"/>
      <c r="G60" s="50"/>
      <c r="H60" s="50"/>
      <c r="I60" s="50"/>
    </row>
    <row r="61" spans="2:20" s="31" customFormat="1" ht="15" customHeight="1" x14ac:dyDescent="0.25">
      <c r="B61" s="48"/>
      <c r="C61" s="76" t="s">
        <v>43</v>
      </c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Q61" s="82" t="s">
        <v>44</v>
      </c>
      <c r="R61" s="82"/>
      <c r="S61" s="83">
        <f>'Datos Cliente'!D9</f>
        <v>46387</v>
      </c>
      <c r="T61" s="83"/>
    </row>
    <row r="62" spans="2:20" s="31" customFormat="1" ht="15" customHeight="1" x14ac:dyDescent="0.2">
      <c r="B62" s="48"/>
      <c r="C62" s="51"/>
      <c r="D62" s="51"/>
      <c r="E62" s="51"/>
      <c r="F62" s="50"/>
      <c r="G62" s="50"/>
      <c r="H62" s="50"/>
      <c r="I62" s="50"/>
    </row>
    <row r="63" spans="2:20" s="31" customFormat="1" ht="15" customHeight="1" x14ac:dyDescent="0.2">
      <c r="B63" s="48"/>
      <c r="C63" s="51"/>
      <c r="D63" s="52"/>
      <c r="E63" s="51"/>
      <c r="F63" s="50"/>
      <c r="G63" s="50"/>
      <c r="H63" s="50"/>
      <c r="I63" s="50"/>
    </row>
    <row r="64" spans="2:20" s="31" customFormat="1" ht="15" customHeight="1" x14ac:dyDescent="0.2">
      <c r="B64" s="48"/>
      <c r="C64" s="51"/>
      <c r="D64" s="52"/>
      <c r="E64" s="51"/>
      <c r="F64" s="50"/>
      <c r="G64" s="50"/>
      <c r="H64" s="50"/>
      <c r="I64" s="50"/>
    </row>
    <row r="65" spans="2:20" s="31" customFormat="1" x14ac:dyDescent="0.2">
      <c r="B65" s="48"/>
      <c r="C65" s="51"/>
      <c r="E65" s="51"/>
      <c r="F65" s="50"/>
      <c r="G65" s="50"/>
      <c r="H65" s="50"/>
      <c r="I65" s="50"/>
    </row>
    <row r="66" spans="2:20" s="31" customFormat="1" x14ac:dyDescent="0.2">
      <c r="B66" s="48"/>
      <c r="C66" s="51"/>
      <c r="D66" s="51"/>
      <c r="E66" s="51"/>
      <c r="F66" s="50"/>
      <c r="G66" s="50"/>
      <c r="H66" s="50"/>
      <c r="I66" s="50"/>
    </row>
    <row r="67" spans="2:20" s="31" customFormat="1" x14ac:dyDescent="0.2">
      <c r="B67" s="48"/>
      <c r="C67" s="51"/>
      <c r="D67" s="52"/>
      <c r="E67" s="51"/>
      <c r="F67" s="50"/>
      <c r="G67" s="50"/>
      <c r="H67" s="50"/>
      <c r="I67" s="50"/>
    </row>
    <row r="68" spans="2:20" s="31" customFormat="1" x14ac:dyDescent="0.2">
      <c r="B68" s="48"/>
      <c r="C68" s="51"/>
      <c r="D68" s="51"/>
      <c r="E68" s="51"/>
      <c r="F68" s="50"/>
      <c r="G68" s="50"/>
      <c r="H68" s="50"/>
      <c r="I68" s="50"/>
    </row>
    <row r="69" spans="2:20" s="31" customFormat="1" x14ac:dyDescent="0.2">
      <c r="B69" s="48"/>
      <c r="C69" s="51"/>
      <c r="D69" s="51"/>
      <c r="E69" s="51"/>
      <c r="F69" s="50"/>
      <c r="G69" s="50"/>
      <c r="H69" s="50"/>
      <c r="I69" s="50"/>
    </row>
    <row r="70" spans="2:20" s="31" customFormat="1" x14ac:dyDescent="0.2">
      <c r="B70" s="48"/>
      <c r="C70" s="51"/>
      <c r="D70" s="51"/>
      <c r="E70" s="51"/>
      <c r="F70" s="50"/>
      <c r="G70" s="50"/>
      <c r="H70" s="50"/>
      <c r="I70" s="50"/>
    </row>
    <row r="71" spans="2:20" s="31" customFormat="1" x14ac:dyDescent="0.2">
      <c r="B71" s="48"/>
      <c r="C71" s="51"/>
      <c r="D71" s="51"/>
      <c r="E71" s="51"/>
      <c r="F71" s="50"/>
      <c r="G71" s="50"/>
      <c r="H71" s="50"/>
      <c r="I71" s="50"/>
    </row>
    <row r="72" spans="2:20" s="31" customFormat="1" x14ac:dyDescent="0.2">
      <c r="B72" s="48"/>
      <c r="C72" s="51"/>
      <c r="D72" s="51"/>
      <c r="E72" s="51"/>
      <c r="F72" s="50"/>
      <c r="G72" s="50"/>
      <c r="H72" s="50"/>
      <c r="I72" s="50"/>
      <c r="N72" s="49"/>
      <c r="O72" s="50"/>
      <c r="P72" s="50"/>
      <c r="Q72" s="50"/>
      <c r="R72" s="50"/>
      <c r="S72" s="50"/>
      <c r="T72" s="50"/>
    </row>
    <row r="73" spans="2:20" s="31" customFormat="1" x14ac:dyDescent="0.2">
      <c r="B73" s="48"/>
      <c r="C73" s="51"/>
      <c r="D73" s="51"/>
      <c r="E73" s="51"/>
      <c r="F73" s="50"/>
      <c r="G73" s="50"/>
      <c r="H73" s="50"/>
      <c r="N73" s="49"/>
      <c r="O73" s="53"/>
      <c r="P73" s="50"/>
      <c r="Q73" s="50"/>
      <c r="R73" s="50"/>
      <c r="S73" s="50"/>
      <c r="T73" s="50"/>
    </row>
    <row r="74" spans="2:20" s="31" customFormat="1" x14ac:dyDescent="0.2">
      <c r="B74" s="48"/>
      <c r="C74" s="49"/>
      <c r="D74" s="50"/>
      <c r="E74" s="50"/>
      <c r="F74" s="50"/>
      <c r="G74" s="50"/>
      <c r="H74" s="50"/>
      <c r="I74" s="50"/>
      <c r="N74" s="49"/>
      <c r="O74" s="53"/>
      <c r="P74" s="50"/>
      <c r="Q74" s="50"/>
      <c r="R74" s="50"/>
      <c r="S74" s="50"/>
      <c r="T74" s="50"/>
    </row>
    <row r="75" spans="2:20" s="31" customFormat="1" x14ac:dyDescent="0.2">
      <c r="B75" s="48"/>
      <c r="C75" s="49"/>
      <c r="D75" s="50"/>
      <c r="E75" s="50"/>
      <c r="F75" s="50"/>
      <c r="G75" s="50"/>
      <c r="H75" s="50"/>
      <c r="I75" s="50"/>
      <c r="N75" s="49"/>
      <c r="O75" s="53"/>
      <c r="P75" s="50"/>
      <c r="Q75" s="50"/>
      <c r="R75" s="50"/>
      <c r="S75" s="50"/>
      <c r="T75" s="50"/>
    </row>
    <row r="76" spans="2:20" s="31" customFormat="1" x14ac:dyDescent="0.2">
      <c r="B76" s="48"/>
      <c r="C76" s="50"/>
      <c r="D76" s="50"/>
      <c r="E76" s="50"/>
      <c r="F76" s="50"/>
      <c r="G76" s="50"/>
      <c r="H76" s="50"/>
      <c r="I76" s="50"/>
      <c r="N76" s="49"/>
      <c r="O76" s="50"/>
      <c r="P76" s="50"/>
      <c r="Q76" s="50"/>
      <c r="R76" s="50"/>
      <c r="S76" s="50"/>
      <c r="T76" s="50"/>
    </row>
    <row r="77" spans="2:20" s="31" customFormat="1" x14ac:dyDescent="0.2">
      <c r="B77" s="48"/>
      <c r="I77" s="50"/>
      <c r="N77" s="49"/>
      <c r="O77" s="50"/>
      <c r="P77" s="50"/>
      <c r="Q77" s="50"/>
      <c r="R77" s="50"/>
      <c r="S77" s="50"/>
      <c r="T77" s="50"/>
    </row>
    <row r="78" spans="2:20" s="31" customFormat="1" x14ac:dyDescent="0.2">
      <c r="B78" s="48"/>
      <c r="N78" s="49"/>
      <c r="O78" s="50"/>
      <c r="P78" s="50"/>
      <c r="Q78" s="50"/>
      <c r="R78" s="50"/>
      <c r="S78" s="50"/>
      <c r="T78" s="50"/>
    </row>
    <row r="79" spans="2:20" s="31" customFormat="1" x14ac:dyDescent="0.2">
      <c r="B79" s="48"/>
      <c r="N79" s="49"/>
      <c r="O79" s="50"/>
      <c r="P79" s="50"/>
      <c r="Q79" s="50"/>
      <c r="R79" s="50"/>
      <c r="S79" s="50"/>
      <c r="T79" s="50"/>
    </row>
    <row r="80" spans="2:20" ht="12" customHeight="1" x14ac:dyDescent="0.2">
      <c r="I80" s="31"/>
      <c r="N80" s="49"/>
      <c r="O80" s="50"/>
      <c r="P80" s="50"/>
      <c r="Q80" s="50"/>
      <c r="R80" s="50"/>
      <c r="S80" s="50"/>
      <c r="T80" s="50"/>
    </row>
    <row r="81" spans="14:20" x14ac:dyDescent="0.2">
      <c r="N81" s="49"/>
      <c r="O81" s="50"/>
      <c r="P81" s="50"/>
      <c r="Q81" s="50"/>
      <c r="R81" s="50"/>
      <c r="S81" s="50"/>
      <c r="T81" s="50"/>
    </row>
    <row r="82" spans="14:20" x14ac:dyDescent="0.2">
      <c r="N82" s="49"/>
      <c r="O82" s="53"/>
      <c r="P82" s="50"/>
      <c r="Q82" s="50"/>
      <c r="R82" s="50"/>
      <c r="S82" s="50"/>
      <c r="T82" s="50"/>
    </row>
    <row r="83" spans="14:20" x14ac:dyDescent="0.2">
      <c r="N83" s="49"/>
      <c r="O83" s="53"/>
      <c r="P83" s="50"/>
      <c r="Q83" s="50"/>
      <c r="R83" s="50"/>
      <c r="S83" s="50"/>
      <c r="T83" s="50"/>
    </row>
    <row r="84" spans="14:20" x14ac:dyDescent="0.2">
      <c r="N84" s="49"/>
      <c r="O84" s="53"/>
      <c r="P84" s="50"/>
      <c r="Q84" s="50"/>
      <c r="R84" s="50"/>
      <c r="S84" s="50"/>
      <c r="T84" s="50"/>
    </row>
    <row r="85" spans="14:20" x14ac:dyDescent="0.2">
      <c r="N85" s="49"/>
      <c r="O85" s="53"/>
      <c r="P85" s="50"/>
      <c r="Q85" s="50"/>
      <c r="R85" s="50"/>
      <c r="S85" s="50"/>
      <c r="T85" s="50"/>
    </row>
    <row r="86" spans="14:20" x14ac:dyDescent="0.2">
      <c r="N86" s="49"/>
      <c r="O86" s="50"/>
      <c r="P86" s="50"/>
      <c r="Q86" s="50"/>
      <c r="R86" s="50"/>
      <c r="S86" s="50"/>
      <c r="T86" s="50"/>
    </row>
    <row r="87" spans="14:20" x14ac:dyDescent="0.2">
      <c r="N87" s="49"/>
      <c r="O87" s="53"/>
      <c r="P87" s="50"/>
      <c r="Q87" s="50"/>
      <c r="R87" s="50"/>
      <c r="S87" s="50"/>
      <c r="T87" s="50"/>
    </row>
    <row r="88" spans="14:20" x14ac:dyDescent="0.2">
      <c r="N88" s="49"/>
      <c r="O88" s="53"/>
      <c r="P88" s="50"/>
      <c r="Q88" s="50"/>
      <c r="R88" s="50"/>
      <c r="S88" s="50"/>
      <c r="T88" s="50"/>
    </row>
    <row r="89" spans="14:20" x14ac:dyDescent="0.2">
      <c r="N89" s="49"/>
      <c r="O89" s="50"/>
      <c r="P89" s="50"/>
      <c r="Q89" s="50"/>
      <c r="R89" s="50"/>
      <c r="S89" s="50"/>
      <c r="T89" s="50"/>
    </row>
    <row r="90" spans="14:20" ht="7.5" customHeight="1" x14ac:dyDescent="0.2">
      <c r="N90" s="49"/>
      <c r="O90" s="50"/>
      <c r="P90" s="50"/>
      <c r="Q90" s="50"/>
      <c r="R90" s="50"/>
      <c r="S90" s="50"/>
      <c r="T90" s="50"/>
    </row>
    <row r="91" spans="14:20" x14ac:dyDescent="0.2">
      <c r="N91" s="49"/>
      <c r="O91" s="50"/>
      <c r="P91" s="50"/>
      <c r="Q91" s="50"/>
      <c r="R91" s="50"/>
      <c r="S91" s="50"/>
      <c r="T91" s="50"/>
    </row>
    <row r="92" spans="14:20" x14ac:dyDescent="0.2">
      <c r="N92" s="49"/>
      <c r="O92" s="50"/>
      <c r="P92" s="50"/>
      <c r="Q92" s="50"/>
      <c r="R92" s="50"/>
      <c r="S92" s="50"/>
      <c r="T92" s="50"/>
    </row>
    <row r="93" spans="14:20" x14ac:dyDescent="0.2">
      <c r="N93" s="49"/>
      <c r="O93" s="50"/>
      <c r="P93" s="50"/>
      <c r="Q93" s="50"/>
      <c r="R93" s="50"/>
      <c r="S93" s="50"/>
      <c r="T93" s="50"/>
    </row>
    <row r="94" spans="14:20" x14ac:dyDescent="0.2">
      <c r="N94" s="49"/>
      <c r="O94" s="50"/>
      <c r="P94" s="50"/>
      <c r="Q94" s="50"/>
      <c r="R94" s="50"/>
      <c r="S94" s="50"/>
      <c r="T94" s="50"/>
    </row>
  </sheetData>
  <sheetProtection formatCells="0" formatColumns="0"/>
  <mergeCells count="16">
    <mergeCell ref="P9:T9"/>
    <mergeCell ref="J4:L4"/>
    <mergeCell ref="O4:P4"/>
    <mergeCell ref="C61:O61"/>
    <mergeCell ref="H9:J9"/>
    <mergeCell ref="K9:O9"/>
    <mergeCell ref="Q4:T4"/>
    <mergeCell ref="Q5:T5"/>
    <mergeCell ref="Q6:T6"/>
    <mergeCell ref="Q61:R61"/>
    <mergeCell ref="S61:T61"/>
    <mergeCell ref="C2:F2"/>
    <mergeCell ref="J2:L2"/>
    <mergeCell ref="O2:P2"/>
    <mergeCell ref="J3:L3"/>
    <mergeCell ref="O3:P3"/>
  </mergeCells>
  <phoneticPr fontId="18" type="noConversion"/>
  <printOptions horizontalCentered="1" verticalCentered="1"/>
  <pageMargins left="0" right="0" top="0" bottom="0" header="0.31496062992125984" footer="0.31496062992125984"/>
  <pageSetup paperSize="9" scale="55" orientation="landscape" verticalDpi="598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C917-E92F-4D8E-A3F2-47C8AEE4E311}">
  <sheetPr>
    <tabColor rgb="FF002060"/>
  </sheetPr>
  <dimension ref="A1:AS508"/>
  <sheetViews>
    <sheetView showGridLines="0" zoomScale="78" zoomScaleNormal="78" workbookViewId="0">
      <pane ySplit="4" topLeftCell="A476" activePane="bottomLeft" state="frozen"/>
      <selection pane="bottomLeft" activeCell="Q514" sqref="Q514"/>
    </sheetView>
  </sheetViews>
  <sheetFormatPr baseColWidth="10" defaultColWidth="11.42578125" defaultRowHeight="14.25" x14ac:dyDescent="0.2"/>
  <cols>
    <col min="1" max="1" width="3.28515625" style="4" customWidth="1"/>
    <col min="2" max="3" width="10.85546875" style="4" customWidth="1"/>
    <col min="4" max="4" width="7.140625" style="4" customWidth="1"/>
    <col min="5" max="5" width="13.42578125" style="4" customWidth="1"/>
    <col min="6" max="6" width="18.140625" style="4" customWidth="1"/>
    <col min="7" max="11" width="11.42578125" style="15" customWidth="1"/>
    <col min="12" max="12" width="3.42578125" style="4" customWidth="1"/>
    <col min="13" max="13" width="14.28515625" style="15" customWidth="1"/>
    <col min="14" max="14" width="3.85546875" style="4" customWidth="1"/>
    <col min="15" max="19" width="11.42578125" style="15" customWidth="1"/>
    <col min="20" max="20" width="3.7109375" style="4" customWidth="1"/>
    <col min="21" max="21" width="13.85546875" style="15" customWidth="1"/>
    <col min="22" max="22" width="4.42578125" style="4" customWidth="1"/>
    <col min="23" max="27" width="11.42578125" style="15" customWidth="1"/>
    <col min="28" max="45" width="11.42578125" style="4" customWidth="1"/>
    <col min="46" max="16384" width="11.42578125" style="4"/>
  </cols>
  <sheetData>
    <row r="1" spans="2:45" s="3" customFormat="1" ht="27.75" customHeight="1" x14ac:dyDescent="0.2">
      <c r="F1" s="21">
        <v>1</v>
      </c>
      <c r="G1" s="21">
        <v>2</v>
      </c>
      <c r="H1" s="21">
        <v>3</v>
      </c>
      <c r="I1" s="21">
        <v>4</v>
      </c>
      <c r="J1" s="21">
        <v>5</v>
      </c>
      <c r="K1" s="21">
        <v>6</v>
      </c>
      <c r="L1" s="21">
        <v>7</v>
      </c>
      <c r="M1" s="21">
        <v>8</v>
      </c>
      <c r="N1" s="21">
        <v>9</v>
      </c>
      <c r="O1" s="21">
        <v>10</v>
      </c>
      <c r="P1" s="21">
        <v>11</v>
      </c>
      <c r="Q1" s="21">
        <v>12</v>
      </c>
      <c r="R1" s="21">
        <v>13</v>
      </c>
      <c r="S1" s="21">
        <v>14</v>
      </c>
      <c r="T1" s="21">
        <v>15</v>
      </c>
      <c r="U1" s="21">
        <v>16</v>
      </c>
      <c r="V1" s="21">
        <v>17</v>
      </c>
      <c r="W1" s="21">
        <v>18</v>
      </c>
      <c r="X1" s="21">
        <v>19</v>
      </c>
      <c r="Y1" s="21">
        <v>20</v>
      </c>
      <c r="Z1" s="21">
        <v>21</v>
      </c>
      <c r="AA1" s="21">
        <v>22</v>
      </c>
    </row>
    <row r="2" spans="2:45" ht="17.25" customHeight="1" x14ac:dyDescent="0.2">
      <c r="G2" s="4"/>
      <c r="H2" s="4"/>
      <c r="I2" s="4"/>
      <c r="J2" s="4"/>
      <c r="K2" s="4"/>
      <c r="M2" s="4"/>
      <c r="O2" s="4"/>
      <c r="P2" s="4"/>
      <c r="Q2" s="4"/>
      <c r="R2" s="4"/>
      <c r="S2" s="4"/>
      <c r="U2" s="4"/>
      <c r="W2" s="4"/>
      <c r="X2" s="4"/>
      <c r="Y2" s="4"/>
      <c r="Z2" s="4"/>
      <c r="AA2" s="4"/>
    </row>
    <row r="3" spans="2:45" ht="16.5" thickBot="1" x14ac:dyDescent="0.3">
      <c r="D3" s="3"/>
      <c r="E3" s="3"/>
      <c r="G3" s="87" t="s">
        <v>33</v>
      </c>
      <c r="H3" s="88"/>
      <c r="I3" s="88"/>
      <c r="J3" s="88"/>
      <c r="K3" s="88"/>
      <c r="M3" s="5" t="s">
        <v>42</v>
      </c>
      <c r="O3" s="87" t="s">
        <v>35</v>
      </c>
      <c r="P3" s="88"/>
      <c r="Q3" s="88"/>
      <c r="R3" s="88"/>
      <c r="S3" s="88"/>
      <c r="U3" s="5" t="s">
        <v>40</v>
      </c>
      <c r="W3" s="87" t="s">
        <v>41</v>
      </c>
      <c r="X3" s="88"/>
      <c r="Y3" s="88"/>
      <c r="Z3" s="88"/>
      <c r="AA3" s="88"/>
      <c r="AG3" s="4" t="s">
        <v>52</v>
      </c>
      <c r="AN3" s="4" t="s">
        <v>53</v>
      </c>
    </row>
    <row r="4" spans="2:45" ht="15.75" x14ac:dyDescent="0.25">
      <c r="B4" s="6" t="s">
        <v>29</v>
      </c>
      <c r="C4" s="23" t="s">
        <v>45</v>
      </c>
      <c r="D4" s="7" t="s">
        <v>30</v>
      </c>
      <c r="E4" s="7" t="s">
        <v>31</v>
      </c>
      <c r="F4" s="7" t="s">
        <v>32</v>
      </c>
      <c r="G4" s="8">
        <v>1</v>
      </c>
      <c r="H4" s="8">
        <v>2</v>
      </c>
      <c r="I4" s="8">
        <v>3</v>
      </c>
      <c r="J4" s="8">
        <v>4</v>
      </c>
      <c r="K4" s="8">
        <v>5</v>
      </c>
      <c r="M4" s="8">
        <v>1</v>
      </c>
      <c r="O4" s="8">
        <v>1</v>
      </c>
      <c r="P4" s="8">
        <v>2</v>
      </c>
      <c r="Q4" s="8">
        <v>3</v>
      </c>
      <c r="R4" s="8">
        <v>4</v>
      </c>
      <c r="S4" s="8">
        <v>5</v>
      </c>
      <c r="U4" s="8">
        <v>1</v>
      </c>
      <c r="W4" s="8">
        <v>1</v>
      </c>
      <c r="X4" s="8">
        <v>2</v>
      </c>
      <c r="Y4" s="8">
        <v>3</v>
      </c>
      <c r="Z4" s="8">
        <v>4</v>
      </c>
      <c r="AA4" s="8">
        <v>5</v>
      </c>
      <c r="AG4" s="24" t="s">
        <v>47</v>
      </c>
      <c r="AH4" s="24" t="s">
        <v>48</v>
      </c>
      <c r="AI4" s="24" t="s">
        <v>49</v>
      </c>
      <c r="AJ4" s="24" t="s">
        <v>50</v>
      </c>
      <c r="AK4" s="24" t="s">
        <v>51</v>
      </c>
      <c r="AL4" s="24" t="s">
        <v>41</v>
      </c>
      <c r="AN4" s="24" t="s">
        <v>47</v>
      </c>
      <c r="AO4" s="24" t="s">
        <v>48</v>
      </c>
      <c r="AP4" s="24" t="s">
        <v>49</v>
      </c>
      <c r="AQ4" s="24" t="s">
        <v>50</v>
      </c>
      <c r="AR4" s="24" t="s">
        <v>51</v>
      </c>
      <c r="AS4" s="24" t="s">
        <v>41</v>
      </c>
    </row>
    <row r="5" spans="2:45" x14ac:dyDescent="0.2">
      <c r="B5" s="9">
        <v>1</v>
      </c>
      <c r="C5" s="9" t="s">
        <v>36</v>
      </c>
      <c r="D5" s="10" t="s">
        <v>13</v>
      </c>
      <c r="E5" s="19" t="s">
        <v>12</v>
      </c>
      <c r="F5" s="10" t="str">
        <f>B5&amp;D5&amp;E5</f>
        <v>1FPPREMIUM</v>
      </c>
      <c r="G5" s="11">
        <v>25.585199999999997</v>
      </c>
      <c r="H5" s="11">
        <v>23.825699999999998</v>
      </c>
      <c r="I5" s="11">
        <v>22.086899999999996</v>
      </c>
      <c r="J5" s="11">
        <v>21.496949999999998</v>
      </c>
      <c r="K5" s="11">
        <v>20.917349999999999</v>
      </c>
      <c r="M5" s="11">
        <f>VLOOKUP(C5,$AG$5:$AL$9,6,FALSE)</f>
        <v>11.61</v>
      </c>
      <c r="O5" s="11" t="e">
        <f>#REF!</f>
        <v>#REF!</v>
      </c>
      <c r="P5" s="11" t="e">
        <f>#REF!</f>
        <v>#REF!</v>
      </c>
      <c r="Q5" s="11" t="e">
        <f>#REF!</f>
        <v>#REF!</v>
      </c>
      <c r="R5" s="11" t="e">
        <f>#REF!</f>
        <v>#REF!</v>
      </c>
      <c r="S5" s="11" t="e">
        <f>#REF!</f>
        <v>#REF!</v>
      </c>
      <c r="U5" s="11" t="e">
        <f>#REF!</f>
        <v>#REF!</v>
      </c>
      <c r="W5" s="11" t="e">
        <f>G5+$M5+O5+$U5</f>
        <v>#REF!</v>
      </c>
      <c r="X5" s="11" t="e">
        <f t="shared" ref="X5:AA5" si="0">H5+$M5+P5+$U5</f>
        <v>#REF!</v>
      </c>
      <c r="Y5" s="11" t="e">
        <f t="shared" si="0"/>
        <v>#REF!</v>
      </c>
      <c r="Z5" s="11" t="e">
        <f t="shared" si="0"/>
        <v>#REF!</v>
      </c>
      <c r="AA5" s="11" t="e">
        <f t="shared" si="0"/>
        <v>#REF!</v>
      </c>
      <c r="AG5" s="26" t="s">
        <v>36</v>
      </c>
      <c r="AH5" s="25">
        <v>10.45</v>
      </c>
      <c r="AI5" s="25">
        <v>0.32</v>
      </c>
      <c r="AJ5" s="25">
        <v>0.34</v>
      </c>
      <c r="AK5" s="27">
        <v>0.5</v>
      </c>
      <c r="AL5" s="28">
        <f>SUM(AH5:AK5)</f>
        <v>11.61</v>
      </c>
      <c r="AN5" s="26" t="s">
        <v>36</v>
      </c>
      <c r="AO5" s="25">
        <v>9.15</v>
      </c>
      <c r="AP5" s="25">
        <v>0.32</v>
      </c>
      <c r="AQ5" s="25">
        <v>0.34</v>
      </c>
      <c r="AR5" s="27">
        <v>0.5</v>
      </c>
      <c r="AS5" s="29">
        <f>SUM(AO5:AR5)</f>
        <v>10.31</v>
      </c>
    </row>
    <row r="6" spans="2:45" x14ac:dyDescent="0.2">
      <c r="B6" s="9">
        <v>2</v>
      </c>
      <c r="C6" s="9" t="s">
        <v>36</v>
      </c>
      <c r="D6" s="10" t="s">
        <v>13</v>
      </c>
      <c r="E6" s="19" t="s">
        <v>12</v>
      </c>
      <c r="F6" s="10" t="str">
        <f t="shared" ref="F6:F83" si="1">B6&amp;D6&amp;E6</f>
        <v>2FPPREMIUM</v>
      </c>
      <c r="G6" s="11">
        <v>29.073149999999998</v>
      </c>
      <c r="H6" s="11">
        <v>27.323999999999998</v>
      </c>
      <c r="I6" s="11">
        <v>24.415649999999999</v>
      </c>
      <c r="J6" s="11">
        <v>23.825699999999998</v>
      </c>
      <c r="K6" s="11">
        <v>23.246099999999998</v>
      </c>
      <c r="M6" s="11">
        <f t="shared" ref="M6:M69" si="2">VLOOKUP(C6,$AG$5:$AL$9,6,FALSE)</f>
        <v>11.61</v>
      </c>
      <c r="O6" s="11" t="e">
        <f>#REF!</f>
        <v>#REF!</v>
      </c>
      <c r="P6" s="11" t="e">
        <f>#REF!</f>
        <v>#REF!</v>
      </c>
      <c r="Q6" s="11" t="e">
        <f>#REF!</f>
        <v>#REF!</v>
      </c>
      <c r="R6" s="11" t="e">
        <f>#REF!</f>
        <v>#REF!</v>
      </c>
      <c r="S6" s="11" t="e">
        <f>#REF!</f>
        <v>#REF!</v>
      </c>
      <c r="U6" s="11" t="e">
        <f>#REF!</f>
        <v>#REF!</v>
      </c>
      <c r="W6" s="11" t="e">
        <f t="shared" ref="W6:W73" si="3">G6+$M6+O6+$U6</f>
        <v>#REF!</v>
      </c>
      <c r="X6" s="11" t="e">
        <f t="shared" ref="X6:X73" si="4">H6+$M6+P6+$U6</f>
        <v>#REF!</v>
      </c>
      <c r="Y6" s="11" t="e">
        <f t="shared" ref="Y6:Y73" si="5">I6+$M6+Q6+$U6</f>
        <v>#REF!</v>
      </c>
      <c r="Z6" s="11" t="e">
        <f t="shared" ref="Z6:Z73" si="6">J6+$M6+R6+$U6</f>
        <v>#REF!</v>
      </c>
      <c r="AA6" s="11" t="e">
        <f t="shared" ref="AA6:AA73" si="7">K6+$M6+S6+$U6</f>
        <v>#REF!</v>
      </c>
      <c r="AG6" s="26" t="s">
        <v>37</v>
      </c>
      <c r="AH6" s="25">
        <v>10.35</v>
      </c>
      <c r="AI6" s="25">
        <v>0.32</v>
      </c>
      <c r="AJ6" s="25">
        <v>0.34</v>
      </c>
      <c r="AK6" s="27">
        <v>0.5</v>
      </c>
      <c r="AL6" s="28">
        <f t="shared" ref="AL6:AL9" si="8">SUM(AH6:AK6)</f>
        <v>11.51</v>
      </c>
      <c r="AN6" s="26" t="s">
        <v>37</v>
      </c>
      <c r="AO6" s="25">
        <v>9.0500000000000007</v>
      </c>
      <c r="AP6" s="25">
        <v>0.32</v>
      </c>
      <c r="AQ6" s="25">
        <v>0.34</v>
      </c>
      <c r="AR6" s="27">
        <v>0.5</v>
      </c>
      <c r="AS6" s="29">
        <f t="shared" ref="AS6:AS9" si="9">SUM(AO6:AR6)</f>
        <v>10.210000000000001</v>
      </c>
    </row>
    <row r="7" spans="2:45" x14ac:dyDescent="0.2">
      <c r="B7" s="9">
        <v>3</v>
      </c>
      <c r="C7" s="9" t="s">
        <v>36</v>
      </c>
      <c r="D7" s="10" t="s">
        <v>13</v>
      </c>
      <c r="E7" s="19" t="s">
        <v>12</v>
      </c>
      <c r="F7" s="10" t="str">
        <f t="shared" si="1"/>
        <v>3FPPREMIUM</v>
      </c>
      <c r="G7" s="11">
        <v>32.747399999999999</v>
      </c>
      <c r="H7" s="11">
        <v>30.998249999999995</v>
      </c>
      <c r="I7" s="11">
        <v>28.0899</v>
      </c>
      <c r="J7" s="11">
        <v>27.499949999999998</v>
      </c>
      <c r="K7" s="11">
        <v>26.920349999999999</v>
      </c>
      <c r="M7" s="11">
        <f t="shared" si="2"/>
        <v>11.61</v>
      </c>
      <c r="O7" s="11" t="e">
        <f>#REF!</f>
        <v>#REF!</v>
      </c>
      <c r="P7" s="11" t="e">
        <f>#REF!</f>
        <v>#REF!</v>
      </c>
      <c r="Q7" s="11" t="e">
        <f>#REF!</f>
        <v>#REF!</v>
      </c>
      <c r="R7" s="11" t="e">
        <f>#REF!</f>
        <v>#REF!</v>
      </c>
      <c r="S7" s="11" t="e">
        <f>#REF!</f>
        <v>#REF!</v>
      </c>
      <c r="U7" s="11" t="e">
        <f>#REF!</f>
        <v>#REF!</v>
      </c>
      <c r="W7" s="11" t="e">
        <f t="shared" si="3"/>
        <v>#REF!</v>
      </c>
      <c r="X7" s="11" t="e">
        <f t="shared" si="4"/>
        <v>#REF!</v>
      </c>
      <c r="Y7" s="11" t="e">
        <f t="shared" si="5"/>
        <v>#REF!</v>
      </c>
      <c r="Z7" s="11" t="e">
        <f t="shared" si="6"/>
        <v>#REF!</v>
      </c>
      <c r="AA7" s="11" t="e">
        <f t="shared" si="7"/>
        <v>#REF!</v>
      </c>
      <c r="AG7" s="26" t="s">
        <v>46</v>
      </c>
      <c r="AH7" s="25">
        <v>9.65</v>
      </c>
      <c r="AI7" s="25">
        <v>0.32</v>
      </c>
      <c r="AJ7" s="25">
        <v>0.34</v>
      </c>
      <c r="AK7" s="27">
        <v>0.5</v>
      </c>
      <c r="AL7" s="28">
        <f t="shared" si="8"/>
        <v>10.81</v>
      </c>
      <c r="AN7" s="26" t="s">
        <v>46</v>
      </c>
      <c r="AO7" s="25">
        <v>9.0500000000000007</v>
      </c>
      <c r="AP7" s="25">
        <v>0.32</v>
      </c>
      <c r="AQ7" s="25">
        <v>0.34</v>
      </c>
      <c r="AR7" s="27">
        <v>0.5</v>
      </c>
      <c r="AS7" s="29">
        <f t="shared" si="9"/>
        <v>10.210000000000001</v>
      </c>
    </row>
    <row r="8" spans="2:45" x14ac:dyDescent="0.2">
      <c r="B8" s="9">
        <v>4</v>
      </c>
      <c r="C8" s="9" t="s">
        <v>36</v>
      </c>
      <c r="D8" s="10" t="s">
        <v>13</v>
      </c>
      <c r="E8" s="19" t="s">
        <v>12</v>
      </c>
      <c r="F8" s="10" t="str">
        <f t="shared" si="1"/>
        <v>4FPPREMIUM</v>
      </c>
      <c r="G8" s="11">
        <v>39.743999999999993</v>
      </c>
      <c r="H8" s="11">
        <v>37.984499999999997</v>
      </c>
      <c r="I8" s="11">
        <v>34.496549999999992</v>
      </c>
      <c r="J8" s="11">
        <v>33.91695</v>
      </c>
      <c r="K8" s="11">
        <v>33.326999999999998</v>
      </c>
      <c r="M8" s="11">
        <f t="shared" si="2"/>
        <v>11.61</v>
      </c>
      <c r="O8" s="11" t="e">
        <f>#REF!</f>
        <v>#REF!</v>
      </c>
      <c r="P8" s="11" t="e">
        <f>#REF!</f>
        <v>#REF!</v>
      </c>
      <c r="Q8" s="11" t="e">
        <f>#REF!</f>
        <v>#REF!</v>
      </c>
      <c r="R8" s="11" t="e">
        <f>#REF!</f>
        <v>#REF!</v>
      </c>
      <c r="S8" s="11" t="e">
        <f>#REF!</f>
        <v>#REF!</v>
      </c>
      <c r="U8" s="11" t="e">
        <f>#REF!</f>
        <v>#REF!</v>
      </c>
      <c r="W8" s="11" t="e">
        <f t="shared" si="3"/>
        <v>#REF!</v>
      </c>
      <c r="X8" s="11" t="e">
        <f t="shared" si="4"/>
        <v>#REF!</v>
      </c>
      <c r="Y8" s="11" t="e">
        <f t="shared" si="5"/>
        <v>#REF!</v>
      </c>
      <c r="Z8" s="11" t="e">
        <f t="shared" si="6"/>
        <v>#REF!</v>
      </c>
      <c r="AA8" s="11" t="e">
        <f t="shared" si="7"/>
        <v>#REF!</v>
      </c>
      <c r="AG8" s="26" t="s">
        <v>38</v>
      </c>
      <c r="AH8" s="25">
        <v>8.6</v>
      </c>
      <c r="AI8" s="25">
        <v>0.32</v>
      </c>
      <c r="AJ8" s="25">
        <v>0.34</v>
      </c>
      <c r="AK8" s="27">
        <v>0.5</v>
      </c>
      <c r="AL8" s="28">
        <f t="shared" si="8"/>
        <v>9.76</v>
      </c>
      <c r="AN8" s="26" t="s">
        <v>38</v>
      </c>
      <c r="AO8" s="25">
        <v>8.1</v>
      </c>
      <c r="AP8" s="25">
        <v>0.32</v>
      </c>
      <c r="AQ8" s="25">
        <v>0.34</v>
      </c>
      <c r="AR8" s="27">
        <v>0.5</v>
      </c>
      <c r="AS8" s="29">
        <f t="shared" si="9"/>
        <v>9.26</v>
      </c>
    </row>
    <row r="9" spans="2:45" x14ac:dyDescent="0.2">
      <c r="B9" s="9">
        <v>5</v>
      </c>
      <c r="C9" s="9" t="s">
        <v>36</v>
      </c>
      <c r="D9" s="10" t="s">
        <v>13</v>
      </c>
      <c r="E9" s="19" t="s">
        <v>12</v>
      </c>
      <c r="F9" s="10" t="str">
        <f t="shared" si="1"/>
        <v>5FPPREMIUM</v>
      </c>
      <c r="G9" s="11">
        <v>45.250199999999992</v>
      </c>
      <c r="H9" s="11">
        <v>43.459649999999996</v>
      </c>
      <c r="I9" s="11">
        <v>38.708999999999996</v>
      </c>
      <c r="J9" s="11">
        <v>38.129400000000004</v>
      </c>
      <c r="K9" s="11">
        <v>37.529099999999993</v>
      </c>
      <c r="M9" s="11">
        <f t="shared" si="2"/>
        <v>11.61</v>
      </c>
      <c r="O9" s="11" t="e">
        <f>#REF!</f>
        <v>#REF!</v>
      </c>
      <c r="P9" s="11" t="e">
        <f>#REF!</f>
        <v>#REF!</v>
      </c>
      <c r="Q9" s="11" t="e">
        <f>#REF!</f>
        <v>#REF!</v>
      </c>
      <c r="R9" s="11" t="e">
        <f>#REF!</f>
        <v>#REF!</v>
      </c>
      <c r="S9" s="11" t="e">
        <f>#REF!</f>
        <v>#REF!</v>
      </c>
      <c r="U9" s="11" t="e">
        <f>#REF!</f>
        <v>#REF!</v>
      </c>
      <c r="W9" s="11" t="e">
        <f t="shared" si="3"/>
        <v>#REF!</v>
      </c>
      <c r="X9" s="11" t="e">
        <f t="shared" si="4"/>
        <v>#REF!</v>
      </c>
      <c r="Y9" s="11" t="e">
        <f t="shared" si="5"/>
        <v>#REF!</v>
      </c>
      <c r="Z9" s="11" t="e">
        <f t="shared" si="6"/>
        <v>#REF!</v>
      </c>
      <c r="AA9" s="11" t="e">
        <f t="shared" si="7"/>
        <v>#REF!</v>
      </c>
      <c r="AG9" s="26" t="s">
        <v>39</v>
      </c>
      <c r="AH9" s="25">
        <v>8.6</v>
      </c>
      <c r="AI9" s="25">
        <v>0.32</v>
      </c>
      <c r="AJ9" s="25">
        <v>0.34</v>
      </c>
      <c r="AK9" s="27">
        <v>0.5</v>
      </c>
      <c r="AL9" s="28">
        <f t="shared" si="8"/>
        <v>9.76</v>
      </c>
      <c r="AN9" s="26" t="s">
        <v>39</v>
      </c>
      <c r="AO9" s="25">
        <v>8.1</v>
      </c>
      <c r="AP9" s="25">
        <v>0.32</v>
      </c>
      <c r="AQ9" s="25">
        <v>0.34</v>
      </c>
      <c r="AR9" s="27">
        <v>0.5</v>
      </c>
      <c r="AS9" s="29">
        <f t="shared" si="9"/>
        <v>9.26</v>
      </c>
    </row>
    <row r="10" spans="2:45" x14ac:dyDescent="0.2">
      <c r="B10" s="9">
        <v>6</v>
      </c>
      <c r="C10" s="9" t="s">
        <v>36</v>
      </c>
      <c r="D10" s="10" t="s">
        <v>13</v>
      </c>
      <c r="E10" s="19" t="s">
        <v>12</v>
      </c>
      <c r="F10" s="10" t="str">
        <f t="shared" si="1"/>
        <v>6FPPREMIUM</v>
      </c>
      <c r="G10" s="11">
        <v>57.121649999999995</v>
      </c>
      <c r="H10" s="11">
        <v>54.751499999999993</v>
      </c>
      <c r="I10" s="11">
        <v>51.770699999999998</v>
      </c>
      <c r="J10" s="11">
        <v>50.580449999999992</v>
      </c>
      <c r="K10" s="11">
        <v>49.390199999999993</v>
      </c>
      <c r="M10" s="11">
        <f t="shared" si="2"/>
        <v>11.61</v>
      </c>
      <c r="O10" s="11" t="e">
        <f>#REF!</f>
        <v>#REF!</v>
      </c>
      <c r="P10" s="11" t="e">
        <f>#REF!</f>
        <v>#REF!</v>
      </c>
      <c r="Q10" s="11" t="e">
        <f>#REF!</f>
        <v>#REF!</v>
      </c>
      <c r="R10" s="11" t="e">
        <f>#REF!</f>
        <v>#REF!</v>
      </c>
      <c r="S10" s="11" t="e">
        <f>#REF!</f>
        <v>#REF!</v>
      </c>
      <c r="U10" s="11" t="e">
        <f>#REF!</f>
        <v>#REF!</v>
      </c>
      <c r="W10" s="11" t="e">
        <f t="shared" si="3"/>
        <v>#REF!</v>
      </c>
      <c r="X10" s="11" t="e">
        <f t="shared" si="4"/>
        <v>#REF!</v>
      </c>
      <c r="Y10" s="11" t="e">
        <f t="shared" si="5"/>
        <v>#REF!</v>
      </c>
      <c r="Z10" s="11" t="e">
        <f t="shared" si="6"/>
        <v>#REF!</v>
      </c>
      <c r="AA10" s="11" t="e">
        <f t="shared" si="7"/>
        <v>#REF!</v>
      </c>
    </row>
    <row r="11" spans="2:45" x14ac:dyDescent="0.2">
      <c r="B11" s="9">
        <v>7</v>
      </c>
      <c r="C11" s="9" t="s">
        <v>36</v>
      </c>
      <c r="D11" s="10" t="s">
        <v>13</v>
      </c>
      <c r="E11" s="19" t="s">
        <v>12</v>
      </c>
      <c r="F11" s="10" t="str">
        <f t="shared" si="1"/>
        <v>7FPPREMIUM</v>
      </c>
      <c r="G11" s="11">
        <v>68.868899999999996</v>
      </c>
      <c r="H11" s="11">
        <v>66.540149999999997</v>
      </c>
      <c r="I11" s="11">
        <v>63.621449999999996</v>
      </c>
      <c r="J11" s="11">
        <v>62.462249999999997</v>
      </c>
      <c r="K11" s="11">
        <v>61.292699999999996</v>
      </c>
      <c r="M11" s="11">
        <f t="shared" si="2"/>
        <v>11.61</v>
      </c>
      <c r="O11" s="11" t="e">
        <f>#REF!</f>
        <v>#REF!</v>
      </c>
      <c r="P11" s="11" t="e">
        <f>#REF!</f>
        <v>#REF!</v>
      </c>
      <c r="Q11" s="11" t="e">
        <f>#REF!</f>
        <v>#REF!</v>
      </c>
      <c r="R11" s="11" t="e">
        <f>#REF!</f>
        <v>#REF!</v>
      </c>
      <c r="S11" s="11" t="e">
        <f>#REF!</f>
        <v>#REF!</v>
      </c>
      <c r="U11" s="11" t="e">
        <f>#REF!</f>
        <v>#REF!</v>
      </c>
      <c r="W11" s="11" t="e">
        <f t="shared" si="3"/>
        <v>#REF!</v>
      </c>
      <c r="X11" s="11" t="e">
        <f t="shared" si="4"/>
        <v>#REF!</v>
      </c>
      <c r="Y11" s="11" t="e">
        <f t="shared" si="5"/>
        <v>#REF!</v>
      </c>
      <c r="Z11" s="11" t="e">
        <f t="shared" si="6"/>
        <v>#REF!</v>
      </c>
      <c r="AA11" s="11" t="e">
        <f t="shared" si="7"/>
        <v>#REF!</v>
      </c>
    </row>
    <row r="12" spans="2:45" x14ac:dyDescent="0.2">
      <c r="B12" s="9">
        <v>8</v>
      </c>
      <c r="C12" s="9" t="s">
        <v>36</v>
      </c>
      <c r="D12" s="10" t="s">
        <v>13</v>
      </c>
      <c r="E12" s="19" t="s">
        <v>12</v>
      </c>
      <c r="F12" s="10" t="str">
        <f t="shared" si="1"/>
        <v>8FPPREMIUM</v>
      </c>
      <c r="G12" s="11">
        <v>102.16484999999999</v>
      </c>
      <c r="H12" s="11">
        <v>99.173699999999982</v>
      </c>
      <c r="I12" s="11">
        <v>96.203249999999997</v>
      </c>
      <c r="J12" s="11">
        <v>95.002650000000003</v>
      </c>
      <c r="K12" s="11">
        <v>93.812399999999997</v>
      </c>
      <c r="M12" s="11">
        <f t="shared" si="2"/>
        <v>11.61</v>
      </c>
      <c r="O12" s="11" t="e">
        <f>#REF!</f>
        <v>#REF!</v>
      </c>
      <c r="P12" s="11" t="e">
        <f>#REF!</f>
        <v>#REF!</v>
      </c>
      <c r="Q12" s="11" t="e">
        <f>#REF!</f>
        <v>#REF!</v>
      </c>
      <c r="R12" s="11" t="e">
        <f>#REF!</f>
        <v>#REF!</v>
      </c>
      <c r="S12" s="11" t="e">
        <f>#REF!</f>
        <v>#REF!</v>
      </c>
      <c r="U12" s="11" t="e">
        <f>#REF!</f>
        <v>#REF!</v>
      </c>
      <c r="W12" s="11" t="e">
        <f t="shared" si="3"/>
        <v>#REF!</v>
      </c>
      <c r="X12" s="11" t="e">
        <f t="shared" si="4"/>
        <v>#REF!</v>
      </c>
      <c r="Y12" s="11" t="e">
        <f t="shared" si="5"/>
        <v>#REF!</v>
      </c>
      <c r="Z12" s="11" t="e">
        <f t="shared" si="6"/>
        <v>#REF!</v>
      </c>
      <c r="AA12" s="11" t="e">
        <f t="shared" si="7"/>
        <v>#REF!</v>
      </c>
    </row>
    <row r="13" spans="2:45" x14ac:dyDescent="0.2">
      <c r="B13" s="9">
        <v>9</v>
      </c>
      <c r="C13" s="9" t="s">
        <v>36</v>
      </c>
      <c r="D13" s="10" t="s">
        <v>13</v>
      </c>
      <c r="E13" s="19" t="s">
        <v>12</v>
      </c>
      <c r="F13" s="10" t="str">
        <f t="shared" si="1"/>
        <v>9FPPREMIUM</v>
      </c>
      <c r="G13" s="11">
        <v>172.05840000000001</v>
      </c>
      <c r="H13" s="11">
        <v>168.75675000000001</v>
      </c>
      <c r="I13" s="11">
        <v>166.01399999999998</v>
      </c>
      <c r="J13" s="11">
        <v>162.71234999999999</v>
      </c>
      <c r="K13" s="11">
        <v>159.42104999999998</v>
      </c>
      <c r="M13" s="11">
        <f t="shared" si="2"/>
        <v>11.61</v>
      </c>
      <c r="O13" s="11" t="e">
        <f>#REF!</f>
        <v>#REF!</v>
      </c>
      <c r="P13" s="11" t="e">
        <f>#REF!</f>
        <v>#REF!</v>
      </c>
      <c r="Q13" s="11" t="e">
        <f>#REF!</f>
        <v>#REF!</v>
      </c>
      <c r="R13" s="11" t="e">
        <f>#REF!</f>
        <v>#REF!</v>
      </c>
      <c r="S13" s="11" t="e">
        <f>#REF!</f>
        <v>#REF!</v>
      </c>
      <c r="U13" s="11" t="e">
        <f>#REF!</f>
        <v>#REF!</v>
      </c>
      <c r="W13" s="11" t="e">
        <f t="shared" si="3"/>
        <v>#REF!</v>
      </c>
      <c r="X13" s="11" t="e">
        <f t="shared" si="4"/>
        <v>#REF!</v>
      </c>
      <c r="Y13" s="11" t="e">
        <f t="shared" si="5"/>
        <v>#REF!</v>
      </c>
      <c r="Z13" s="11" t="e">
        <f t="shared" si="6"/>
        <v>#REF!</v>
      </c>
      <c r="AA13" s="11" t="e">
        <f t="shared" si="7"/>
        <v>#REF!</v>
      </c>
    </row>
    <row r="14" spans="2:45" x14ac:dyDescent="0.2">
      <c r="B14" s="9">
        <v>10</v>
      </c>
      <c r="C14" s="9" t="s">
        <v>36</v>
      </c>
      <c r="D14" s="10" t="s">
        <v>13</v>
      </c>
      <c r="E14" s="19" t="s">
        <v>12</v>
      </c>
      <c r="F14" s="10" t="str">
        <f t="shared" si="1"/>
        <v>10FPPREMIUM</v>
      </c>
      <c r="G14" s="11">
        <v>183.58829999999998</v>
      </c>
      <c r="H14" s="11">
        <v>180.29699999999997</v>
      </c>
      <c r="I14" s="11">
        <v>176.99534999999997</v>
      </c>
      <c r="J14" s="11">
        <v>173.70405</v>
      </c>
      <c r="K14" s="11">
        <v>170.41274999999999</v>
      </c>
      <c r="M14" s="11">
        <f t="shared" si="2"/>
        <v>11.61</v>
      </c>
      <c r="O14" s="11" t="e">
        <f>#REF!</f>
        <v>#REF!</v>
      </c>
      <c r="P14" s="11" t="e">
        <f>#REF!</f>
        <v>#REF!</v>
      </c>
      <c r="Q14" s="11" t="e">
        <f>#REF!</f>
        <v>#REF!</v>
      </c>
      <c r="R14" s="11" t="e">
        <f>#REF!</f>
        <v>#REF!</v>
      </c>
      <c r="S14" s="11" t="e">
        <f>#REF!</f>
        <v>#REF!</v>
      </c>
      <c r="U14" s="11" t="e">
        <f>#REF!</f>
        <v>#REF!</v>
      </c>
      <c r="W14" s="11" t="e">
        <f t="shared" si="3"/>
        <v>#REF!</v>
      </c>
      <c r="X14" s="11" t="e">
        <f t="shared" si="4"/>
        <v>#REF!</v>
      </c>
      <c r="Y14" s="11" t="e">
        <f t="shared" si="5"/>
        <v>#REF!</v>
      </c>
      <c r="Z14" s="11" t="e">
        <f t="shared" si="6"/>
        <v>#REF!</v>
      </c>
      <c r="AA14" s="11" t="e">
        <f t="shared" si="7"/>
        <v>#REF!</v>
      </c>
    </row>
    <row r="15" spans="2:45" x14ac:dyDescent="0.2">
      <c r="B15" s="9">
        <v>11</v>
      </c>
      <c r="C15" s="9" t="s">
        <v>36</v>
      </c>
      <c r="D15" s="10" t="s">
        <v>13</v>
      </c>
      <c r="E15" s="19" t="s">
        <v>12</v>
      </c>
      <c r="F15" s="10" t="str">
        <f t="shared" si="1"/>
        <v>11FPPREMIUM</v>
      </c>
      <c r="G15" s="11">
        <v>185.23394999999999</v>
      </c>
      <c r="H15" s="11">
        <v>181.94264999999999</v>
      </c>
      <c r="I15" s="11">
        <v>178.64099999999999</v>
      </c>
      <c r="J15" s="11">
        <v>175.34969999999998</v>
      </c>
      <c r="K15" s="11">
        <v>172.60694999999998</v>
      </c>
      <c r="M15" s="11">
        <f t="shared" si="2"/>
        <v>11.61</v>
      </c>
      <c r="O15" s="11" t="e">
        <f>#REF!</f>
        <v>#REF!</v>
      </c>
      <c r="P15" s="11" t="e">
        <f>#REF!</f>
        <v>#REF!</v>
      </c>
      <c r="Q15" s="11" t="e">
        <f>#REF!</f>
        <v>#REF!</v>
      </c>
      <c r="R15" s="11" t="e">
        <f>#REF!</f>
        <v>#REF!</v>
      </c>
      <c r="S15" s="11" t="e">
        <f>#REF!</f>
        <v>#REF!</v>
      </c>
      <c r="U15" s="11" t="e">
        <f>#REF!</f>
        <v>#REF!</v>
      </c>
      <c r="W15" s="11" t="e">
        <f t="shared" si="3"/>
        <v>#REF!</v>
      </c>
      <c r="X15" s="11" t="e">
        <f t="shared" si="4"/>
        <v>#REF!</v>
      </c>
      <c r="Y15" s="11" t="e">
        <f t="shared" si="5"/>
        <v>#REF!</v>
      </c>
      <c r="Z15" s="11" t="e">
        <f t="shared" si="6"/>
        <v>#REF!</v>
      </c>
      <c r="AA15" s="11" t="e">
        <f t="shared" si="7"/>
        <v>#REF!</v>
      </c>
    </row>
    <row r="16" spans="2:45" x14ac:dyDescent="0.2">
      <c r="B16" s="9">
        <v>12</v>
      </c>
      <c r="C16" s="9" t="s">
        <v>36</v>
      </c>
      <c r="D16" s="10" t="s">
        <v>13</v>
      </c>
      <c r="E16" s="19" t="s">
        <v>12</v>
      </c>
      <c r="F16" s="10" t="str">
        <f t="shared" si="1"/>
        <v>12FPPREMIUM</v>
      </c>
      <c r="G16" s="11">
        <v>238.50539999999998</v>
      </c>
      <c r="H16" s="11">
        <v>237.40829999999997</v>
      </c>
      <c r="I16" s="11">
        <v>235.76264999999998</v>
      </c>
      <c r="J16" s="11">
        <v>235.76264999999998</v>
      </c>
      <c r="K16" s="11">
        <v>233.55809999999997</v>
      </c>
      <c r="M16" s="11">
        <f t="shared" si="2"/>
        <v>11.61</v>
      </c>
      <c r="O16" s="11" t="e">
        <f>#REF!</f>
        <v>#REF!</v>
      </c>
      <c r="P16" s="11" t="e">
        <f>#REF!</f>
        <v>#REF!</v>
      </c>
      <c r="Q16" s="11" t="e">
        <f>#REF!</f>
        <v>#REF!</v>
      </c>
      <c r="R16" s="11" t="e">
        <f>#REF!</f>
        <v>#REF!</v>
      </c>
      <c r="S16" s="11" t="e">
        <f>#REF!</f>
        <v>#REF!</v>
      </c>
      <c r="U16" s="11" t="e">
        <f>#REF!</f>
        <v>#REF!</v>
      </c>
      <c r="W16" s="11" t="e">
        <f t="shared" si="3"/>
        <v>#REF!</v>
      </c>
      <c r="X16" s="11" t="e">
        <f t="shared" si="4"/>
        <v>#REF!</v>
      </c>
      <c r="Y16" s="11" t="e">
        <f t="shared" si="5"/>
        <v>#REF!</v>
      </c>
      <c r="Z16" s="11" t="e">
        <f t="shared" si="6"/>
        <v>#REF!</v>
      </c>
      <c r="AA16" s="11" t="e">
        <f t="shared" si="7"/>
        <v>#REF!</v>
      </c>
    </row>
    <row r="17" spans="2:27" x14ac:dyDescent="0.2">
      <c r="B17" s="9">
        <v>13</v>
      </c>
      <c r="C17" s="9" t="s">
        <v>36</v>
      </c>
      <c r="D17" s="10" t="s">
        <v>13</v>
      </c>
      <c r="E17" s="19" t="s">
        <v>12</v>
      </c>
      <c r="F17" s="10" t="str">
        <f t="shared" si="1"/>
        <v>13FPPREMIUM</v>
      </c>
      <c r="G17" s="11">
        <v>299.11499999999995</v>
      </c>
      <c r="H17" s="11">
        <v>299.11499999999995</v>
      </c>
      <c r="I17" s="11">
        <v>299.11499999999995</v>
      </c>
      <c r="J17" s="11">
        <v>299.11499999999995</v>
      </c>
      <c r="K17" s="11">
        <v>299.11499999999995</v>
      </c>
      <c r="M17" s="11">
        <f t="shared" si="2"/>
        <v>11.61</v>
      </c>
      <c r="O17" s="11" t="e">
        <f>#REF!</f>
        <v>#REF!</v>
      </c>
      <c r="P17" s="11" t="e">
        <f>#REF!</f>
        <v>#REF!</v>
      </c>
      <c r="Q17" s="11" t="e">
        <f>#REF!</f>
        <v>#REF!</v>
      </c>
      <c r="R17" s="11" t="e">
        <f>#REF!</f>
        <v>#REF!</v>
      </c>
      <c r="S17" s="11" t="e">
        <f>#REF!</f>
        <v>#REF!</v>
      </c>
      <c r="U17" s="11" t="e">
        <f>#REF!</f>
        <v>#REF!</v>
      </c>
      <c r="W17" s="11" t="e">
        <f t="shared" ref="W17:W18" si="10">G17+$M17+O17+$U17</f>
        <v>#REF!</v>
      </c>
      <c r="X17" s="11" t="e">
        <f t="shared" ref="X17:X18" si="11">H17+$M17+P17+$U17</f>
        <v>#REF!</v>
      </c>
      <c r="Y17" s="11" t="e">
        <f t="shared" ref="Y17:Y18" si="12">I17+$M17+Q17+$U17</f>
        <v>#REF!</v>
      </c>
      <c r="Z17" s="11" t="e">
        <f t="shared" ref="Z17:Z18" si="13">J17+$M17+R17+$U17</f>
        <v>#REF!</v>
      </c>
      <c r="AA17" s="11" t="e">
        <f t="shared" ref="AA17:AA18" si="14">K17+$M17+S17+$U17</f>
        <v>#REF!</v>
      </c>
    </row>
    <row r="18" spans="2:27" x14ac:dyDescent="0.2">
      <c r="B18" s="9">
        <v>14</v>
      </c>
      <c r="C18" s="9" t="s">
        <v>36</v>
      </c>
      <c r="D18" s="10" t="s">
        <v>13</v>
      </c>
      <c r="E18" s="19" t="s">
        <v>12</v>
      </c>
      <c r="F18" s="10" t="str">
        <f t="shared" si="1"/>
        <v>14FPPREMIUM</v>
      </c>
      <c r="G18" s="11">
        <v>331.2</v>
      </c>
      <c r="H18" s="11">
        <v>331.2</v>
      </c>
      <c r="I18" s="11">
        <v>331.2</v>
      </c>
      <c r="J18" s="11">
        <v>331.2</v>
      </c>
      <c r="K18" s="11">
        <v>331.2</v>
      </c>
      <c r="M18" s="11">
        <f t="shared" si="2"/>
        <v>11.61</v>
      </c>
      <c r="O18" s="11" t="e">
        <f>#REF!</f>
        <v>#REF!</v>
      </c>
      <c r="P18" s="11" t="e">
        <f>#REF!</f>
        <v>#REF!</v>
      </c>
      <c r="Q18" s="11" t="e">
        <f>#REF!</f>
        <v>#REF!</v>
      </c>
      <c r="R18" s="11" t="e">
        <f>#REF!</f>
        <v>#REF!</v>
      </c>
      <c r="S18" s="11" t="e">
        <f>#REF!</f>
        <v>#REF!</v>
      </c>
      <c r="U18" s="11" t="e">
        <f>#REF!</f>
        <v>#REF!</v>
      </c>
      <c r="W18" s="11" t="e">
        <f t="shared" si="10"/>
        <v>#REF!</v>
      </c>
      <c r="X18" s="11" t="e">
        <f t="shared" si="11"/>
        <v>#REF!</v>
      </c>
      <c r="Y18" s="11" t="e">
        <f t="shared" si="12"/>
        <v>#REF!</v>
      </c>
      <c r="Z18" s="11" t="e">
        <f t="shared" si="13"/>
        <v>#REF!</v>
      </c>
      <c r="AA18" s="11" t="e">
        <f t="shared" si="14"/>
        <v>#REF!</v>
      </c>
    </row>
    <row r="19" spans="2:27" x14ac:dyDescent="0.2">
      <c r="B19" s="9">
        <v>21</v>
      </c>
      <c r="C19" s="9" t="s">
        <v>37</v>
      </c>
      <c r="D19" s="10" t="s">
        <v>13</v>
      </c>
      <c r="E19" s="19" t="s">
        <v>12</v>
      </c>
      <c r="F19" s="10" t="str">
        <f t="shared" si="1"/>
        <v>21FPPREMIUM</v>
      </c>
      <c r="G19" s="12">
        <v>20.58615</v>
      </c>
      <c r="H19" s="12">
        <v>18.836999999999996</v>
      </c>
      <c r="I19" s="12">
        <v>17.68815</v>
      </c>
      <c r="J19" s="12">
        <v>17.108550000000001</v>
      </c>
      <c r="K19" s="12">
        <v>16.528949999999998</v>
      </c>
      <c r="M19" s="12">
        <f t="shared" si="2"/>
        <v>11.51</v>
      </c>
      <c r="O19" s="12" t="e">
        <f>#REF!</f>
        <v>#REF!</v>
      </c>
      <c r="P19" s="12" t="e">
        <f>#REF!</f>
        <v>#REF!</v>
      </c>
      <c r="Q19" s="12" t="e">
        <f>#REF!</f>
        <v>#REF!</v>
      </c>
      <c r="R19" s="12" t="e">
        <f>#REF!</f>
        <v>#REF!</v>
      </c>
      <c r="S19" s="12" t="e">
        <f>#REF!</f>
        <v>#REF!</v>
      </c>
      <c r="U19" s="12" t="e">
        <f>#REF!</f>
        <v>#REF!</v>
      </c>
      <c r="W19" s="12" t="e">
        <f t="shared" si="3"/>
        <v>#REF!</v>
      </c>
      <c r="X19" s="12" t="e">
        <f t="shared" si="4"/>
        <v>#REF!</v>
      </c>
      <c r="Y19" s="12" t="e">
        <f t="shared" si="5"/>
        <v>#REF!</v>
      </c>
      <c r="Z19" s="12" t="e">
        <f t="shared" si="6"/>
        <v>#REF!</v>
      </c>
      <c r="AA19" s="12" t="e">
        <f t="shared" si="7"/>
        <v>#REF!</v>
      </c>
    </row>
    <row r="20" spans="2:27" x14ac:dyDescent="0.2">
      <c r="B20" s="9">
        <v>22</v>
      </c>
      <c r="C20" s="9" t="s">
        <v>37</v>
      </c>
      <c r="D20" s="10" t="s">
        <v>13</v>
      </c>
      <c r="E20" s="19" t="s">
        <v>12</v>
      </c>
      <c r="F20" s="10" t="str">
        <f t="shared" si="1"/>
        <v>22FPPREMIUM</v>
      </c>
      <c r="G20" s="12">
        <v>24.477749999999997</v>
      </c>
      <c r="H20" s="12">
        <v>22.11795</v>
      </c>
      <c r="I20" s="12">
        <v>20.927699999999998</v>
      </c>
      <c r="J20" s="12">
        <v>20.337749999999996</v>
      </c>
      <c r="K20" s="12">
        <v>19.747799999999998</v>
      </c>
      <c r="M20" s="12">
        <f t="shared" si="2"/>
        <v>11.51</v>
      </c>
      <c r="O20" s="12" t="e">
        <f>#REF!</f>
        <v>#REF!</v>
      </c>
      <c r="P20" s="12" t="e">
        <f>#REF!</f>
        <v>#REF!</v>
      </c>
      <c r="Q20" s="12" t="e">
        <f>#REF!</f>
        <v>#REF!</v>
      </c>
      <c r="R20" s="12" t="e">
        <f>#REF!</f>
        <v>#REF!</v>
      </c>
      <c r="S20" s="12" t="e">
        <f>#REF!</f>
        <v>#REF!</v>
      </c>
      <c r="U20" s="12" t="e">
        <f>#REF!</f>
        <v>#REF!</v>
      </c>
      <c r="W20" s="12" t="e">
        <f t="shared" si="3"/>
        <v>#REF!</v>
      </c>
      <c r="X20" s="12" t="e">
        <f t="shared" si="4"/>
        <v>#REF!</v>
      </c>
      <c r="Y20" s="12" t="e">
        <f t="shared" si="5"/>
        <v>#REF!</v>
      </c>
      <c r="Z20" s="12" t="e">
        <f t="shared" si="6"/>
        <v>#REF!</v>
      </c>
      <c r="AA20" s="12" t="e">
        <f t="shared" si="7"/>
        <v>#REF!</v>
      </c>
    </row>
    <row r="21" spans="2:27" x14ac:dyDescent="0.2">
      <c r="B21" s="9">
        <v>23</v>
      </c>
      <c r="C21" s="9" t="s">
        <v>37</v>
      </c>
      <c r="D21" s="10" t="s">
        <v>13</v>
      </c>
      <c r="E21" s="19" t="s">
        <v>12</v>
      </c>
      <c r="F21" s="10" t="str">
        <f t="shared" si="1"/>
        <v>23FPPREMIUM</v>
      </c>
      <c r="G21" s="12">
        <v>28.907549999999997</v>
      </c>
      <c r="H21" s="12">
        <v>27.158399999999997</v>
      </c>
      <c r="I21" s="12">
        <v>25.988849999999996</v>
      </c>
      <c r="J21" s="12">
        <v>25.398899999999998</v>
      </c>
      <c r="K21" s="12">
        <v>24.819299999999998</v>
      </c>
      <c r="M21" s="12">
        <f t="shared" si="2"/>
        <v>11.51</v>
      </c>
      <c r="O21" s="12" t="e">
        <f>#REF!</f>
        <v>#REF!</v>
      </c>
      <c r="P21" s="12" t="e">
        <f>#REF!</f>
        <v>#REF!</v>
      </c>
      <c r="Q21" s="12" t="e">
        <f>#REF!</f>
        <v>#REF!</v>
      </c>
      <c r="R21" s="12" t="e">
        <f>#REF!</f>
        <v>#REF!</v>
      </c>
      <c r="S21" s="12" t="e">
        <f>#REF!</f>
        <v>#REF!</v>
      </c>
      <c r="U21" s="12" t="e">
        <f>#REF!</f>
        <v>#REF!</v>
      </c>
      <c r="W21" s="12" t="e">
        <f t="shared" si="3"/>
        <v>#REF!</v>
      </c>
      <c r="X21" s="12" t="e">
        <f t="shared" si="4"/>
        <v>#REF!</v>
      </c>
      <c r="Y21" s="12" t="e">
        <f t="shared" si="5"/>
        <v>#REF!</v>
      </c>
      <c r="Z21" s="12" t="e">
        <f t="shared" si="6"/>
        <v>#REF!</v>
      </c>
      <c r="AA21" s="12" t="e">
        <f t="shared" si="7"/>
        <v>#REF!</v>
      </c>
    </row>
    <row r="22" spans="2:27" x14ac:dyDescent="0.2">
      <c r="B22" s="9">
        <v>24</v>
      </c>
      <c r="C22" s="9" t="s">
        <v>37</v>
      </c>
      <c r="D22" s="10" t="s">
        <v>13</v>
      </c>
      <c r="E22" s="19" t="s">
        <v>12</v>
      </c>
      <c r="F22" s="10" t="str">
        <f t="shared" si="1"/>
        <v>24FPPREMIUM</v>
      </c>
      <c r="G22" s="12">
        <v>31.536449999999995</v>
      </c>
      <c r="H22" s="12">
        <v>29.083500000000001</v>
      </c>
      <c r="I22" s="12">
        <v>27.851849999999999</v>
      </c>
      <c r="J22" s="12">
        <v>27.241199999999999</v>
      </c>
      <c r="K22" s="12">
        <v>26.630549999999999</v>
      </c>
      <c r="M22" s="12">
        <f t="shared" si="2"/>
        <v>11.51</v>
      </c>
      <c r="O22" s="12" t="e">
        <f>#REF!</f>
        <v>#REF!</v>
      </c>
      <c r="P22" s="12" t="e">
        <f>#REF!</f>
        <v>#REF!</v>
      </c>
      <c r="Q22" s="12" t="e">
        <f>#REF!</f>
        <v>#REF!</v>
      </c>
      <c r="R22" s="12" t="e">
        <f>#REF!</f>
        <v>#REF!</v>
      </c>
      <c r="S22" s="12" t="e">
        <f>#REF!</f>
        <v>#REF!</v>
      </c>
      <c r="U22" s="12" t="e">
        <f>#REF!</f>
        <v>#REF!</v>
      </c>
      <c r="W22" s="12" t="e">
        <f t="shared" si="3"/>
        <v>#REF!</v>
      </c>
      <c r="X22" s="12" t="e">
        <f t="shared" si="4"/>
        <v>#REF!</v>
      </c>
      <c r="Y22" s="12" t="e">
        <f t="shared" si="5"/>
        <v>#REF!</v>
      </c>
      <c r="Z22" s="12" t="e">
        <f t="shared" si="6"/>
        <v>#REF!</v>
      </c>
      <c r="AA22" s="12" t="e">
        <f t="shared" si="7"/>
        <v>#REF!</v>
      </c>
    </row>
    <row r="23" spans="2:27" x14ac:dyDescent="0.2">
      <c r="B23" s="9">
        <v>25</v>
      </c>
      <c r="C23" s="9" t="s">
        <v>37</v>
      </c>
      <c r="D23" s="10" t="s">
        <v>13</v>
      </c>
      <c r="E23" s="19" t="s">
        <v>12</v>
      </c>
      <c r="F23" s="10" t="str">
        <f t="shared" si="1"/>
        <v>25FPPREMIUM</v>
      </c>
      <c r="G23" s="12">
        <v>35.0244</v>
      </c>
      <c r="H23" s="12">
        <v>33.295949999999998</v>
      </c>
      <c r="I23" s="12">
        <v>32.126399999999997</v>
      </c>
      <c r="J23" s="12">
        <v>31.546799999999998</v>
      </c>
      <c r="K23" s="12">
        <v>30.967199999999998</v>
      </c>
      <c r="M23" s="12">
        <f t="shared" si="2"/>
        <v>11.51</v>
      </c>
      <c r="O23" s="12" t="e">
        <f>#REF!</f>
        <v>#REF!</v>
      </c>
      <c r="P23" s="12" t="e">
        <f>#REF!</f>
        <v>#REF!</v>
      </c>
      <c r="Q23" s="12" t="e">
        <f>#REF!</f>
        <v>#REF!</v>
      </c>
      <c r="R23" s="12" t="e">
        <f>#REF!</f>
        <v>#REF!</v>
      </c>
      <c r="S23" s="12" t="e">
        <f>#REF!</f>
        <v>#REF!</v>
      </c>
      <c r="U23" s="12" t="e">
        <f>#REF!</f>
        <v>#REF!</v>
      </c>
      <c r="W23" s="12" t="e">
        <f t="shared" si="3"/>
        <v>#REF!</v>
      </c>
      <c r="X23" s="12" t="e">
        <f t="shared" si="4"/>
        <v>#REF!</v>
      </c>
      <c r="Y23" s="12" t="e">
        <f t="shared" si="5"/>
        <v>#REF!</v>
      </c>
      <c r="Z23" s="12" t="e">
        <f t="shared" si="6"/>
        <v>#REF!</v>
      </c>
      <c r="AA23" s="12" t="e">
        <f t="shared" si="7"/>
        <v>#REF!</v>
      </c>
    </row>
    <row r="24" spans="2:27" x14ac:dyDescent="0.2">
      <c r="B24" s="9">
        <v>26</v>
      </c>
      <c r="C24" s="9" t="s">
        <v>37</v>
      </c>
      <c r="D24" s="10" t="s">
        <v>13</v>
      </c>
      <c r="E24" s="19" t="s">
        <v>12</v>
      </c>
      <c r="F24" s="10" t="str">
        <f t="shared" si="1"/>
        <v>26FPPREMIUM</v>
      </c>
      <c r="G24" s="12">
        <v>38.274299999999997</v>
      </c>
      <c r="H24" s="12">
        <v>36.535499999999992</v>
      </c>
      <c r="I24" s="12">
        <v>35.376300000000001</v>
      </c>
      <c r="J24" s="12">
        <v>34.786349999999999</v>
      </c>
      <c r="K24" s="12">
        <v>34.217100000000002</v>
      </c>
      <c r="M24" s="12">
        <f t="shared" si="2"/>
        <v>11.51</v>
      </c>
      <c r="O24" s="12" t="e">
        <f>#REF!</f>
        <v>#REF!</v>
      </c>
      <c r="P24" s="12" t="e">
        <f>#REF!</f>
        <v>#REF!</v>
      </c>
      <c r="Q24" s="12" t="e">
        <f>#REF!</f>
        <v>#REF!</v>
      </c>
      <c r="R24" s="12" t="e">
        <f>#REF!</f>
        <v>#REF!</v>
      </c>
      <c r="S24" s="12" t="e">
        <f>#REF!</f>
        <v>#REF!</v>
      </c>
      <c r="U24" s="12" t="e">
        <f>#REF!</f>
        <v>#REF!</v>
      </c>
      <c r="W24" s="12" t="e">
        <f t="shared" si="3"/>
        <v>#REF!</v>
      </c>
      <c r="X24" s="12" t="e">
        <f t="shared" si="4"/>
        <v>#REF!</v>
      </c>
      <c r="Y24" s="12" t="e">
        <f t="shared" si="5"/>
        <v>#REF!</v>
      </c>
      <c r="Z24" s="12" t="e">
        <f t="shared" si="6"/>
        <v>#REF!</v>
      </c>
      <c r="AA24" s="12" t="e">
        <f t="shared" si="7"/>
        <v>#REF!</v>
      </c>
    </row>
    <row r="25" spans="2:27" x14ac:dyDescent="0.2">
      <c r="B25" s="9">
        <v>27</v>
      </c>
      <c r="C25" s="9" t="s">
        <v>37</v>
      </c>
      <c r="D25" s="10" t="s">
        <v>13</v>
      </c>
      <c r="E25" s="19" t="s">
        <v>12</v>
      </c>
      <c r="F25" s="10" t="str">
        <f t="shared" si="1"/>
        <v>27FPPREMIUM</v>
      </c>
      <c r="G25" s="12">
        <v>165.24809999999999</v>
      </c>
      <c r="H25" s="12">
        <v>161.95679999999999</v>
      </c>
      <c r="I25" s="12">
        <v>159.76259999999999</v>
      </c>
      <c r="J25" s="12">
        <v>156.46094999999997</v>
      </c>
      <c r="K25" s="12">
        <v>153.15929999999997</v>
      </c>
      <c r="M25" s="12">
        <f t="shared" si="2"/>
        <v>11.51</v>
      </c>
      <c r="O25" s="12" t="e">
        <f>#REF!</f>
        <v>#REF!</v>
      </c>
      <c r="P25" s="12" t="e">
        <f>#REF!</f>
        <v>#REF!</v>
      </c>
      <c r="Q25" s="12" t="e">
        <f>#REF!</f>
        <v>#REF!</v>
      </c>
      <c r="R25" s="12" t="e">
        <f>#REF!</f>
        <v>#REF!</v>
      </c>
      <c r="S25" s="12" t="e">
        <f>#REF!</f>
        <v>#REF!</v>
      </c>
      <c r="U25" s="12" t="e">
        <f>#REF!</f>
        <v>#REF!</v>
      </c>
      <c r="W25" s="12" t="e">
        <f t="shared" si="3"/>
        <v>#REF!</v>
      </c>
      <c r="X25" s="12" t="e">
        <f t="shared" si="4"/>
        <v>#REF!</v>
      </c>
      <c r="Y25" s="12" t="e">
        <f t="shared" si="5"/>
        <v>#REF!</v>
      </c>
      <c r="Z25" s="12" t="e">
        <f t="shared" si="6"/>
        <v>#REF!</v>
      </c>
      <c r="AA25" s="12" t="e">
        <f t="shared" si="7"/>
        <v>#REF!</v>
      </c>
    </row>
    <row r="26" spans="2:27" x14ac:dyDescent="0.2">
      <c r="B26" s="9">
        <v>28</v>
      </c>
      <c r="C26" s="9" t="s">
        <v>37</v>
      </c>
      <c r="D26" s="10" t="s">
        <v>13</v>
      </c>
      <c r="E26" s="19" t="s">
        <v>12</v>
      </c>
      <c r="F26" s="10" t="str">
        <f t="shared" si="1"/>
        <v>28FPPREMIUM</v>
      </c>
      <c r="G26" s="12">
        <v>171.84105</v>
      </c>
      <c r="H26" s="12">
        <v>168.5394</v>
      </c>
      <c r="I26" s="12">
        <v>165.24809999999999</v>
      </c>
      <c r="J26" s="12">
        <v>161.95679999999999</v>
      </c>
      <c r="K26" s="12">
        <v>158.66550000000001</v>
      </c>
      <c r="M26" s="12">
        <f t="shared" si="2"/>
        <v>11.51</v>
      </c>
      <c r="O26" s="12" t="e">
        <f>#REF!</f>
        <v>#REF!</v>
      </c>
      <c r="P26" s="12" t="e">
        <f>#REF!</f>
        <v>#REF!</v>
      </c>
      <c r="Q26" s="12" t="e">
        <f>#REF!</f>
        <v>#REF!</v>
      </c>
      <c r="R26" s="12" t="e">
        <f>#REF!</f>
        <v>#REF!</v>
      </c>
      <c r="S26" s="12" t="e">
        <f>#REF!</f>
        <v>#REF!</v>
      </c>
      <c r="U26" s="12" t="e">
        <f>#REF!</f>
        <v>#REF!</v>
      </c>
      <c r="W26" s="12" t="e">
        <f t="shared" si="3"/>
        <v>#REF!</v>
      </c>
      <c r="X26" s="12" t="e">
        <f t="shared" si="4"/>
        <v>#REF!</v>
      </c>
      <c r="Y26" s="12" t="e">
        <f t="shared" si="5"/>
        <v>#REF!</v>
      </c>
      <c r="Z26" s="12" t="e">
        <f t="shared" si="6"/>
        <v>#REF!</v>
      </c>
      <c r="AA26" s="12" t="e">
        <f t="shared" si="7"/>
        <v>#REF!</v>
      </c>
    </row>
    <row r="27" spans="2:27" x14ac:dyDescent="0.2">
      <c r="B27" s="9">
        <v>31</v>
      </c>
      <c r="C27" s="9" t="s">
        <v>46</v>
      </c>
      <c r="D27" s="10" t="s">
        <v>13</v>
      </c>
      <c r="E27" s="19" t="s">
        <v>12</v>
      </c>
      <c r="F27" s="10" t="str">
        <f t="shared" si="1"/>
        <v>31FPPREMIUM</v>
      </c>
      <c r="G27" s="13">
        <v>19.251000000000001</v>
      </c>
      <c r="H27" s="13">
        <v>17.5122</v>
      </c>
      <c r="I27" s="13">
        <v>16.352999999999998</v>
      </c>
      <c r="J27" s="13">
        <v>15.76305</v>
      </c>
      <c r="K27" s="13">
        <v>15.204149999999998</v>
      </c>
      <c r="M27" s="13">
        <f t="shared" si="2"/>
        <v>10.81</v>
      </c>
      <c r="O27" s="13" t="e">
        <f>#REF!</f>
        <v>#REF!</v>
      </c>
      <c r="P27" s="13" t="e">
        <f>#REF!</f>
        <v>#REF!</v>
      </c>
      <c r="Q27" s="13" t="e">
        <f>#REF!</f>
        <v>#REF!</v>
      </c>
      <c r="R27" s="13" t="e">
        <f>#REF!</f>
        <v>#REF!</v>
      </c>
      <c r="S27" s="13" t="e">
        <f>#REF!</f>
        <v>#REF!</v>
      </c>
      <c r="U27" s="13" t="e">
        <f>#REF!</f>
        <v>#REF!</v>
      </c>
      <c r="W27" s="13" t="e">
        <f t="shared" si="3"/>
        <v>#REF!</v>
      </c>
      <c r="X27" s="13" t="e">
        <f t="shared" si="4"/>
        <v>#REF!</v>
      </c>
      <c r="Y27" s="13" t="e">
        <f t="shared" si="5"/>
        <v>#REF!</v>
      </c>
      <c r="Z27" s="13" t="e">
        <f t="shared" si="6"/>
        <v>#REF!</v>
      </c>
      <c r="AA27" s="13" t="e">
        <f t="shared" si="7"/>
        <v>#REF!</v>
      </c>
    </row>
    <row r="28" spans="2:27" x14ac:dyDescent="0.2">
      <c r="B28" s="9">
        <v>32</v>
      </c>
      <c r="C28" s="9" t="s">
        <v>46</v>
      </c>
      <c r="D28" s="10" t="s">
        <v>13</v>
      </c>
      <c r="E28" s="19" t="s">
        <v>12</v>
      </c>
      <c r="F28" s="10" t="str">
        <f t="shared" si="1"/>
        <v>32FPPREMIUM</v>
      </c>
      <c r="G28" s="13">
        <v>23.349599999999995</v>
      </c>
      <c r="H28" s="13">
        <v>21.527999999999999</v>
      </c>
      <c r="I28" s="13">
        <v>20.317049999999998</v>
      </c>
      <c r="J28" s="13">
        <v>19.716749999999998</v>
      </c>
      <c r="K28" s="13">
        <v>19.106099999999998</v>
      </c>
      <c r="M28" s="13">
        <f t="shared" si="2"/>
        <v>10.81</v>
      </c>
      <c r="O28" s="13" t="e">
        <f>#REF!</f>
        <v>#REF!</v>
      </c>
      <c r="P28" s="13" t="e">
        <f>#REF!</f>
        <v>#REF!</v>
      </c>
      <c r="Q28" s="13" t="e">
        <f>#REF!</f>
        <v>#REF!</v>
      </c>
      <c r="R28" s="13" t="e">
        <f>#REF!</f>
        <v>#REF!</v>
      </c>
      <c r="S28" s="13" t="e">
        <f>#REF!</f>
        <v>#REF!</v>
      </c>
      <c r="U28" s="13" t="e">
        <f>#REF!</f>
        <v>#REF!</v>
      </c>
      <c r="W28" s="13" t="e">
        <f t="shared" si="3"/>
        <v>#REF!</v>
      </c>
      <c r="X28" s="13" t="e">
        <f t="shared" si="4"/>
        <v>#REF!</v>
      </c>
      <c r="Y28" s="13" t="e">
        <f t="shared" si="5"/>
        <v>#REF!</v>
      </c>
      <c r="Z28" s="13" t="e">
        <f t="shared" si="6"/>
        <v>#REF!</v>
      </c>
      <c r="AA28" s="13" t="e">
        <f t="shared" si="7"/>
        <v>#REF!</v>
      </c>
    </row>
    <row r="29" spans="2:27" x14ac:dyDescent="0.2">
      <c r="B29" s="9">
        <v>33</v>
      </c>
      <c r="C29" s="9" t="s">
        <v>46</v>
      </c>
      <c r="D29" s="10" t="s">
        <v>13</v>
      </c>
      <c r="E29" s="19" t="s">
        <v>12</v>
      </c>
      <c r="F29" s="10" t="str">
        <f t="shared" si="1"/>
        <v>33FPPREMIUM</v>
      </c>
      <c r="G29" s="13">
        <v>26.485649999999996</v>
      </c>
      <c r="H29" s="13">
        <v>24.705449999999999</v>
      </c>
      <c r="I29" s="13">
        <v>23.515199999999997</v>
      </c>
      <c r="J29" s="13">
        <v>22.935599999999997</v>
      </c>
      <c r="K29" s="13">
        <v>22.324949999999998</v>
      </c>
      <c r="M29" s="13">
        <f t="shared" si="2"/>
        <v>10.81</v>
      </c>
      <c r="O29" s="13" t="e">
        <f>#REF!</f>
        <v>#REF!</v>
      </c>
      <c r="P29" s="13" t="e">
        <f>#REF!</f>
        <v>#REF!</v>
      </c>
      <c r="Q29" s="13" t="e">
        <f>#REF!</f>
        <v>#REF!</v>
      </c>
      <c r="R29" s="13" t="e">
        <f>#REF!</f>
        <v>#REF!</v>
      </c>
      <c r="S29" s="13" t="e">
        <f>#REF!</f>
        <v>#REF!</v>
      </c>
      <c r="U29" s="13" t="e">
        <f>#REF!</f>
        <v>#REF!</v>
      </c>
      <c r="W29" s="13" t="e">
        <f t="shared" si="3"/>
        <v>#REF!</v>
      </c>
      <c r="X29" s="13" t="e">
        <f t="shared" si="4"/>
        <v>#REF!</v>
      </c>
      <c r="Y29" s="13" t="e">
        <f t="shared" si="5"/>
        <v>#REF!</v>
      </c>
      <c r="Z29" s="13" t="e">
        <f t="shared" si="6"/>
        <v>#REF!</v>
      </c>
      <c r="AA29" s="13" t="e">
        <f t="shared" si="7"/>
        <v>#REF!</v>
      </c>
    </row>
    <row r="30" spans="2:27" x14ac:dyDescent="0.2">
      <c r="B30" s="9">
        <v>34</v>
      </c>
      <c r="C30" s="9" t="s">
        <v>46</v>
      </c>
      <c r="D30" s="10" t="s">
        <v>13</v>
      </c>
      <c r="E30" s="19" t="s">
        <v>12</v>
      </c>
      <c r="F30" s="10" t="str">
        <f t="shared" si="1"/>
        <v>34FPPREMIUM</v>
      </c>
      <c r="G30" s="13">
        <v>29.963249999999999</v>
      </c>
      <c r="H30" s="13">
        <v>28.110599999999998</v>
      </c>
      <c r="I30" s="13">
        <v>26.878949999999996</v>
      </c>
      <c r="J30" s="13">
        <v>26.268299999999996</v>
      </c>
      <c r="K30" s="13">
        <v>25.647299999999998</v>
      </c>
      <c r="M30" s="13">
        <f t="shared" si="2"/>
        <v>10.81</v>
      </c>
      <c r="O30" s="13" t="e">
        <f>#REF!</f>
        <v>#REF!</v>
      </c>
      <c r="P30" s="13" t="e">
        <f>#REF!</f>
        <v>#REF!</v>
      </c>
      <c r="Q30" s="13" t="e">
        <f>#REF!</f>
        <v>#REF!</v>
      </c>
      <c r="R30" s="13" t="e">
        <f>#REF!</f>
        <v>#REF!</v>
      </c>
      <c r="S30" s="13" t="e">
        <f>#REF!</f>
        <v>#REF!</v>
      </c>
      <c r="U30" s="13" t="e">
        <f>#REF!</f>
        <v>#REF!</v>
      </c>
      <c r="W30" s="13" t="e">
        <f t="shared" si="3"/>
        <v>#REF!</v>
      </c>
      <c r="X30" s="13" t="e">
        <f t="shared" si="4"/>
        <v>#REF!</v>
      </c>
      <c r="Y30" s="13" t="e">
        <f t="shared" si="5"/>
        <v>#REF!</v>
      </c>
      <c r="Z30" s="13" t="e">
        <f t="shared" si="6"/>
        <v>#REF!</v>
      </c>
      <c r="AA30" s="13" t="e">
        <f t="shared" si="7"/>
        <v>#REF!</v>
      </c>
    </row>
    <row r="31" spans="2:27" x14ac:dyDescent="0.2">
      <c r="B31" s="9">
        <v>35</v>
      </c>
      <c r="C31" s="9" t="s">
        <v>46</v>
      </c>
      <c r="D31" s="10" t="s">
        <v>13</v>
      </c>
      <c r="E31" s="19" t="s">
        <v>12</v>
      </c>
      <c r="F31" s="10" t="str">
        <f t="shared" si="1"/>
        <v>35FPPREMIUM</v>
      </c>
      <c r="G31" s="13">
        <v>32.136749999999999</v>
      </c>
      <c r="H31" s="13">
        <v>30.3462</v>
      </c>
      <c r="I31" s="13">
        <v>29.145599999999998</v>
      </c>
      <c r="J31" s="13">
        <v>28.545299999999997</v>
      </c>
      <c r="K31" s="13">
        <v>27.944999999999997</v>
      </c>
      <c r="M31" s="13">
        <f t="shared" si="2"/>
        <v>10.81</v>
      </c>
      <c r="O31" s="13" t="e">
        <f>#REF!</f>
        <v>#REF!</v>
      </c>
      <c r="P31" s="13" t="e">
        <f>#REF!</f>
        <v>#REF!</v>
      </c>
      <c r="Q31" s="13" t="e">
        <f>#REF!</f>
        <v>#REF!</v>
      </c>
      <c r="R31" s="13" t="e">
        <f>#REF!</f>
        <v>#REF!</v>
      </c>
      <c r="S31" s="13" t="e">
        <f>#REF!</f>
        <v>#REF!</v>
      </c>
      <c r="U31" s="13" t="e">
        <f>#REF!</f>
        <v>#REF!</v>
      </c>
      <c r="W31" s="13" t="e">
        <f t="shared" si="3"/>
        <v>#REF!</v>
      </c>
      <c r="X31" s="13" t="e">
        <f t="shared" si="4"/>
        <v>#REF!</v>
      </c>
      <c r="Y31" s="13" t="e">
        <f t="shared" si="5"/>
        <v>#REF!</v>
      </c>
      <c r="Z31" s="13" t="e">
        <f t="shared" si="6"/>
        <v>#REF!</v>
      </c>
      <c r="AA31" s="13" t="e">
        <f t="shared" si="7"/>
        <v>#REF!</v>
      </c>
    </row>
    <row r="32" spans="2:27" x14ac:dyDescent="0.2">
      <c r="B32" s="9">
        <v>41</v>
      </c>
      <c r="C32" s="9" t="s">
        <v>38</v>
      </c>
      <c r="D32" s="10" t="s">
        <v>13</v>
      </c>
      <c r="E32" s="19" t="s">
        <v>12</v>
      </c>
      <c r="F32" s="10" t="str">
        <f t="shared" si="1"/>
        <v>41FPPREMIUM</v>
      </c>
      <c r="G32" s="14">
        <v>18.649999999999999</v>
      </c>
      <c r="H32" s="14">
        <v>17.05</v>
      </c>
      <c r="I32" s="14">
        <v>16</v>
      </c>
      <c r="J32" s="14">
        <v>15.3</v>
      </c>
      <c r="K32" s="14">
        <v>14.95</v>
      </c>
      <c r="M32" s="14">
        <f t="shared" si="2"/>
        <v>9.76</v>
      </c>
      <c r="O32" s="14" t="e">
        <f>#REF!</f>
        <v>#REF!</v>
      </c>
      <c r="P32" s="14" t="e">
        <f>#REF!</f>
        <v>#REF!</v>
      </c>
      <c r="Q32" s="14" t="e">
        <f>#REF!</f>
        <v>#REF!</v>
      </c>
      <c r="R32" s="14" t="e">
        <f>#REF!</f>
        <v>#REF!</v>
      </c>
      <c r="S32" s="14" t="e">
        <f>#REF!</f>
        <v>#REF!</v>
      </c>
      <c r="U32" s="14" t="e">
        <f>#REF!</f>
        <v>#REF!</v>
      </c>
      <c r="W32" s="14" t="e">
        <f t="shared" si="3"/>
        <v>#REF!</v>
      </c>
      <c r="X32" s="14" t="e">
        <f t="shared" si="4"/>
        <v>#REF!</v>
      </c>
      <c r="Y32" s="14" t="e">
        <f t="shared" si="5"/>
        <v>#REF!</v>
      </c>
      <c r="Z32" s="14" t="e">
        <f t="shared" si="6"/>
        <v>#REF!</v>
      </c>
      <c r="AA32" s="14" t="e">
        <f t="shared" si="7"/>
        <v>#REF!</v>
      </c>
    </row>
    <row r="33" spans="2:27" x14ac:dyDescent="0.2">
      <c r="B33" s="9">
        <v>42</v>
      </c>
      <c r="C33" s="9" t="s">
        <v>38</v>
      </c>
      <c r="D33" s="10" t="s">
        <v>13</v>
      </c>
      <c r="E33" s="19" t="s">
        <v>12</v>
      </c>
      <c r="F33" s="10" t="str">
        <f t="shared" si="1"/>
        <v>42FPPREMIUM</v>
      </c>
      <c r="G33" s="14">
        <v>20.95</v>
      </c>
      <c r="H33" s="14">
        <v>19.25</v>
      </c>
      <c r="I33" s="14">
        <v>18.2</v>
      </c>
      <c r="J33" s="14">
        <v>17.5</v>
      </c>
      <c r="K33" s="14">
        <v>17.149999999999999</v>
      </c>
      <c r="M33" s="14">
        <f t="shared" si="2"/>
        <v>9.76</v>
      </c>
      <c r="O33" s="14" t="e">
        <f>#REF!</f>
        <v>#REF!</v>
      </c>
      <c r="P33" s="14" t="e">
        <f>#REF!</f>
        <v>#REF!</v>
      </c>
      <c r="Q33" s="14" t="e">
        <f>#REF!</f>
        <v>#REF!</v>
      </c>
      <c r="R33" s="14" t="e">
        <f>#REF!</f>
        <v>#REF!</v>
      </c>
      <c r="S33" s="14" t="e">
        <f>#REF!</f>
        <v>#REF!</v>
      </c>
      <c r="U33" s="14" t="e">
        <f>#REF!</f>
        <v>#REF!</v>
      </c>
      <c r="W33" s="14" t="e">
        <f t="shared" si="3"/>
        <v>#REF!</v>
      </c>
      <c r="X33" s="14" t="e">
        <f t="shared" si="4"/>
        <v>#REF!</v>
      </c>
      <c r="Y33" s="14" t="e">
        <f t="shared" si="5"/>
        <v>#REF!</v>
      </c>
      <c r="Z33" s="14" t="e">
        <f t="shared" si="6"/>
        <v>#REF!</v>
      </c>
      <c r="AA33" s="14" t="e">
        <f t="shared" si="7"/>
        <v>#REF!</v>
      </c>
    </row>
    <row r="34" spans="2:27" x14ac:dyDescent="0.2">
      <c r="B34" s="9">
        <v>43</v>
      </c>
      <c r="C34" s="9" t="s">
        <v>38</v>
      </c>
      <c r="D34" s="10" t="s">
        <v>13</v>
      </c>
      <c r="E34" s="19" t="s">
        <v>12</v>
      </c>
      <c r="F34" s="10" t="str">
        <f t="shared" si="1"/>
        <v>43FPPREMIUM</v>
      </c>
      <c r="G34" s="14">
        <v>23.65</v>
      </c>
      <c r="H34" s="14">
        <v>22.05</v>
      </c>
      <c r="I34" s="14">
        <v>21</v>
      </c>
      <c r="J34" s="14">
        <v>20.3</v>
      </c>
      <c r="K34" s="14">
        <v>19.95</v>
      </c>
      <c r="M34" s="14">
        <f t="shared" si="2"/>
        <v>9.76</v>
      </c>
      <c r="O34" s="14" t="e">
        <f>#REF!</f>
        <v>#REF!</v>
      </c>
      <c r="P34" s="14" t="e">
        <f>#REF!</f>
        <v>#REF!</v>
      </c>
      <c r="Q34" s="14" t="e">
        <f>#REF!</f>
        <v>#REF!</v>
      </c>
      <c r="R34" s="14" t="e">
        <f>#REF!</f>
        <v>#REF!</v>
      </c>
      <c r="S34" s="14" t="e">
        <f>#REF!</f>
        <v>#REF!</v>
      </c>
      <c r="U34" s="14" t="e">
        <f>#REF!</f>
        <v>#REF!</v>
      </c>
      <c r="W34" s="14" t="e">
        <f t="shared" si="3"/>
        <v>#REF!</v>
      </c>
      <c r="X34" s="14" t="e">
        <f t="shared" si="4"/>
        <v>#REF!</v>
      </c>
      <c r="Y34" s="14" t="e">
        <f t="shared" si="5"/>
        <v>#REF!</v>
      </c>
      <c r="Z34" s="14" t="e">
        <f t="shared" si="6"/>
        <v>#REF!</v>
      </c>
      <c r="AA34" s="14" t="e">
        <f t="shared" si="7"/>
        <v>#REF!</v>
      </c>
    </row>
    <row r="35" spans="2:27" x14ac:dyDescent="0.2">
      <c r="B35" s="9">
        <v>44</v>
      </c>
      <c r="C35" s="9" t="s">
        <v>38</v>
      </c>
      <c r="D35" s="10" t="s">
        <v>13</v>
      </c>
      <c r="E35" s="19" t="s">
        <v>12</v>
      </c>
      <c r="F35" s="10" t="str">
        <f t="shared" si="1"/>
        <v>44FPPREMIUM</v>
      </c>
      <c r="G35" s="14">
        <v>139.96</v>
      </c>
      <c r="H35" s="14">
        <v>136.9</v>
      </c>
      <c r="I35" s="14">
        <v>134.86000000000001</v>
      </c>
      <c r="J35" s="14">
        <v>131.80000000000001</v>
      </c>
      <c r="K35" s="14">
        <v>128.74</v>
      </c>
      <c r="M35" s="14">
        <f t="shared" si="2"/>
        <v>9.76</v>
      </c>
      <c r="O35" s="14" t="e">
        <f>#REF!</f>
        <v>#REF!</v>
      </c>
      <c r="P35" s="14" t="e">
        <f>#REF!</f>
        <v>#REF!</v>
      </c>
      <c r="Q35" s="14" t="e">
        <f>#REF!</f>
        <v>#REF!</v>
      </c>
      <c r="R35" s="14" t="e">
        <f>#REF!</f>
        <v>#REF!</v>
      </c>
      <c r="S35" s="14" t="e">
        <f>#REF!</f>
        <v>#REF!</v>
      </c>
      <c r="U35" s="14" t="e">
        <f>#REF!</f>
        <v>#REF!</v>
      </c>
      <c r="W35" s="14" t="e">
        <f t="shared" si="3"/>
        <v>#REF!</v>
      </c>
      <c r="X35" s="14" t="e">
        <f t="shared" si="4"/>
        <v>#REF!</v>
      </c>
      <c r="Y35" s="14" t="e">
        <f t="shared" si="5"/>
        <v>#REF!</v>
      </c>
      <c r="Z35" s="14" t="e">
        <f t="shared" si="6"/>
        <v>#REF!</v>
      </c>
      <c r="AA35" s="14" t="e">
        <f t="shared" si="7"/>
        <v>#REF!</v>
      </c>
    </row>
    <row r="36" spans="2:27" x14ac:dyDescent="0.2">
      <c r="B36" s="9">
        <v>45</v>
      </c>
      <c r="C36" s="9" t="s">
        <v>38</v>
      </c>
      <c r="D36" s="10" t="s">
        <v>13</v>
      </c>
      <c r="E36" s="19" t="s">
        <v>12</v>
      </c>
      <c r="F36" s="10" t="str">
        <f t="shared" si="1"/>
        <v>45FPPREMIUM</v>
      </c>
      <c r="G36" s="14">
        <v>146.08000000000001</v>
      </c>
      <c r="H36" s="14">
        <v>143.02000000000001</v>
      </c>
      <c r="I36" s="14">
        <v>139.96</v>
      </c>
      <c r="J36" s="14">
        <v>136.9</v>
      </c>
      <c r="K36" s="14">
        <v>133.84</v>
      </c>
      <c r="M36" s="14">
        <f t="shared" si="2"/>
        <v>9.76</v>
      </c>
      <c r="O36" s="14" t="e">
        <f>#REF!</f>
        <v>#REF!</v>
      </c>
      <c r="P36" s="14" t="e">
        <f>#REF!</f>
        <v>#REF!</v>
      </c>
      <c r="Q36" s="14" t="e">
        <f>#REF!</f>
        <v>#REF!</v>
      </c>
      <c r="R36" s="14" t="e">
        <f>#REF!</f>
        <v>#REF!</v>
      </c>
      <c r="S36" s="14" t="e">
        <f>#REF!</f>
        <v>#REF!</v>
      </c>
      <c r="U36" s="14" t="e">
        <f>#REF!</f>
        <v>#REF!</v>
      </c>
      <c r="W36" s="14" t="e">
        <f t="shared" si="3"/>
        <v>#REF!</v>
      </c>
      <c r="X36" s="14" t="e">
        <f t="shared" si="4"/>
        <v>#REF!</v>
      </c>
      <c r="Y36" s="14" t="e">
        <f t="shared" si="5"/>
        <v>#REF!</v>
      </c>
      <c r="Z36" s="14" t="e">
        <f t="shared" si="6"/>
        <v>#REF!</v>
      </c>
      <c r="AA36" s="14" t="e">
        <f t="shared" si="7"/>
        <v>#REF!</v>
      </c>
    </row>
    <row r="37" spans="2:27" x14ac:dyDescent="0.2">
      <c r="B37" s="9">
        <v>51</v>
      </c>
      <c r="C37" s="9" t="s">
        <v>39</v>
      </c>
      <c r="D37" s="10" t="s">
        <v>13</v>
      </c>
      <c r="E37" s="19" t="s">
        <v>12</v>
      </c>
      <c r="F37" s="10" t="str">
        <f t="shared" si="1"/>
        <v>51FPPREMIUM</v>
      </c>
      <c r="G37" s="18">
        <v>18.649999999999999</v>
      </c>
      <c r="H37" s="18">
        <v>17.05</v>
      </c>
      <c r="I37" s="18">
        <v>16</v>
      </c>
      <c r="J37" s="18">
        <v>15.3</v>
      </c>
      <c r="K37" s="18">
        <v>14.95</v>
      </c>
      <c r="M37" s="18">
        <f t="shared" si="2"/>
        <v>9.76</v>
      </c>
      <c r="O37" s="18" t="e">
        <f>#REF!</f>
        <v>#REF!</v>
      </c>
      <c r="P37" s="18" t="e">
        <f>#REF!</f>
        <v>#REF!</v>
      </c>
      <c r="Q37" s="18" t="e">
        <f>#REF!</f>
        <v>#REF!</v>
      </c>
      <c r="R37" s="18" t="e">
        <f>#REF!</f>
        <v>#REF!</v>
      </c>
      <c r="S37" s="18" t="e">
        <f>#REF!</f>
        <v>#REF!</v>
      </c>
      <c r="U37" s="18" t="e">
        <f>#REF!</f>
        <v>#REF!</v>
      </c>
      <c r="W37" s="18" t="e">
        <f t="shared" si="3"/>
        <v>#REF!</v>
      </c>
      <c r="X37" s="18" t="e">
        <f t="shared" si="4"/>
        <v>#REF!</v>
      </c>
      <c r="Y37" s="18" t="e">
        <f t="shared" si="5"/>
        <v>#REF!</v>
      </c>
      <c r="Z37" s="18" t="e">
        <f t="shared" si="6"/>
        <v>#REF!</v>
      </c>
      <c r="AA37" s="18" t="e">
        <f t="shared" si="7"/>
        <v>#REF!</v>
      </c>
    </row>
    <row r="38" spans="2:27" x14ac:dyDescent="0.2">
      <c r="B38" s="9">
        <v>52</v>
      </c>
      <c r="C38" s="9" t="s">
        <v>39</v>
      </c>
      <c r="D38" s="10" t="s">
        <v>13</v>
      </c>
      <c r="E38" s="19" t="s">
        <v>12</v>
      </c>
      <c r="F38" s="10" t="str">
        <f t="shared" si="1"/>
        <v>52FPPREMIUM</v>
      </c>
      <c r="G38" s="18">
        <v>20.95</v>
      </c>
      <c r="H38" s="18">
        <v>19.25</v>
      </c>
      <c r="I38" s="18">
        <v>18.2</v>
      </c>
      <c r="J38" s="18">
        <v>17.5</v>
      </c>
      <c r="K38" s="18">
        <v>17.149999999999999</v>
      </c>
      <c r="M38" s="18">
        <f t="shared" si="2"/>
        <v>9.76</v>
      </c>
      <c r="O38" s="18" t="e">
        <f>#REF!</f>
        <v>#REF!</v>
      </c>
      <c r="P38" s="18" t="e">
        <f>#REF!</f>
        <v>#REF!</v>
      </c>
      <c r="Q38" s="18" t="e">
        <f>#REF!</f>
        <v>#REF!</v>
      </c>
      <c r="R38" s="18" t="e">
        <f>#REF!</f>
        <v>#REF!</v>
      </c>
      <c r="S38" s="18" t="e">
        <f>#REF!</f>
        <v>#REF!</v>
      </c>
      <c r="U38" s="18" t="e">
        <f>#REF!</f>
        <v>#REF!</v>
      </c>
      <c r="W38" s="18" t="e">
        <f t="shared" si="3"/>
        <v>#REF!</v>
      </c>
      <c r="X38" s="18" t="e">
        <f t="shared" si="4"/>
        <v>#REF!</v>
      </c>
      <c r="Y38" s="18" t="e">
        <f t="shared" si="5"/>
        <v>#REF!</v>
      </c>
      <c r="Z38" s="18" t="e">
        <f t="shared" si="6"/>
        <v>#REF!</v>
      </c>
      <c r="AA38" s="18" t="e">
        <f t="shared" si="7"/>
        <v>#REF!</v>
      </c>
    </row>
    <row r="39" spans="2:27" x14ac:dyDescent="0.2">
      <c r="B39" s="9">
        <v>53</v>
      </c>
      <c r="C39" s="9" t="s">
        <v>39</v>
      </c>
      <c r="D39" s="10" t="s">
        <v>13</v>
      </c>
      <c r="E39" s="19" t="s">
        <v>12</v>
      </c>
      <c r="F39" s="10" t="str">
        <f t="shared" si="1"/>
        <v>53FPPREMIUM</v>
      </c>
      <c r="G39" s="18">
        <v>23.65</v>
      </c>
      <c r="H39" s="18">
        <v>22.05</v>
      </c>
      <c r="I39" s="18">
        <v>21</v>
      </c>
      <c r="J39" s="18">
        <v>20.3</v>
      </c>
      <c r="K39" s="18">
        <v>19.95</v>
      </c>
      <c r="M39" s="18">
        <f t="shared" si="2"/>
        <v>9.76</v>
      </c>
      <c r="O39" s="18" t="e">
        <f>#REF!</f>
        <v>#REF!</v>
      </c>
      <c r="P39" s="18" t="e">
        <f>#REF!</f>
        <v>#REF!</v>
      </c>
      <c r="Q39" s="18" t="e">
        <f>#REF!</f>
        <v>#REF!</v>
      </c>
      <c r="R39" s="18" t="e">
        <f>#REF!</f>
        <v>#REF!</v>
      </c>
      <c r="S39" s="18" t="e">
        <f>#REF!</f>
        <v>#REF!</v>
      </c>
      <c r="U39" s="18" t="e">
        <f>#REF!</f>
        <v>#REF!</v>
      </c>
      <c r="W39" s="18" t="e">
        <f t="shared" si="3"/>
        <v>#REF!</v>
      </c>
      <c r="X39" s="18" t="e">
        <f t="shared" si="4"/>
        <v>#REF!</v>
      </c>
      <c r="Y39" s="18" t="e">
        <f t="shared" si="5"/>
        <v>#REF!</v>
      </c>
      <c r="Z39" s="18" t="e">
        <f t="shared" si="6"/>
        <v>#REF!</v>
      </c>
      <c r="AA39" s="18" t="e">
        <f t="shared" si="7"/>
        <v>#REF!</v>
      </c>
    </row>
    <row r="40" spans="2:27" x14ac:dyDescent="0.2">
      <c r="B40" s="9">
        <v>54</v>
      </c>
      <c r="C40" s="9" t="s">
        <v>39</v>
      </c>
      <c r="D40" s="10" t="s">
        <v>13</v>
      </c>
      <c r="E40" s="19" t="s">
        <v>12</v>
      </c>
      <c r="F40" s="10" t="str">
        <f t="shared" si="1"/>
        <v>54FPPREMIUM</v>
      </c>
      <c r="G40" s="18">
        <v>26.35</v>
      </c>
      <c r="H40" s="18">
        <v>24.85</v>
      </c>
      <c r="I40" s="18">
        <v>23.8</v>
      </c>
      <c r="J40" s="18">
        <v>23.1</v>
      </c>
      <c r="K40" s="18">
        <v>22.75</v>
      </c>
      <c r="M40" s="18">
        <f t="shared" si="2"/>
        <v>9.76</v>
      </c>
      <c r="O40" s="18" t="e">
        <f>#REF!</f>
        <v>#REF!</v>
      </c>
      <c r="P40" s="18" t="e">
        <f>#REF!</f>
        <v>#REF!</v>
      </c>
      <c r="Q40" s="18" t="e">
        <f>#REF!</f>
        <v>#REF!</v>
      </c>
      <c r="R40" s="18" t="e">
        <f>#REF!</f>
        <v>#REF!</v>
      </c>
      <c r="S40" s="18" t="e">
        <f>#REF!</f>
        <v>#REF!</v>
      </c>
      <c r="U40" s="18" t="e">
        <f>#REF!</f>
        <v>#REF!</v>
      </c>
      <c r="W40" s="18" t="e">
        <f t="shared" si="3"/>
        <v>#REF!</v>
      </c>
      <c r="X40" s="18" t="e">
        <f t="shared" si="4"/>
        <v>#REF!</v>
      </c>
      <c r="Y40" s="18" t="e">
        <f t="shared" si="5"/>
        <v>#REF!</v>
      </c>
      <c r="Z40" s="18" t="e">
        <f t="shared" si="6"/>
        <v>#REF!</v>
      </c>
      <c r="AA40" s="18" t="e">
        <f t="shared" si="7"/>
        <v>#REF!</v>
      </c>
    </row>
    <row r="41" spans="2:27" x14ac:dyDescent="0.2">
      <c r="B41" s="9">
        <v>1</v>
      </c>
      <c r="C41" s="9" t="s">
        <v>36</v>
      </c>
      <c r="D41" s="10" t="s">
        <v>13</v>
      </c>
      <c r="E41" s="20" t="s">
        <v>18</v>
      </c>
      <c r="F41" s="10" t="str">
        <f t="shared" si="1"/>
        <v>1FPECONOMY</v>
      </c>
      <c r="G41" s="11">
        <v>20.592249999999996</v>
      </c>
      <c r="H41" s="11">
        <v>18.870249999999999</v>
      </c>
      <c r="I41" s="11">
        <v>16.564</v>
      </c>
      <c r="J41" s="11">
        <v>15.979749999999999</v>
      </c>
      <c r="K41" s="11">
        <v>15.405749999999998</v>
      </c>
      <c r="M41" s="11">
        <f t="shared" si="2"/>
        <v>11.61</v>
      </c>
      <c r="O41" s="11" t="e">
        <f>#REF!</f>
        <v>#REF!</v>
      </c>
      <c r="P41" s="11" t="e">
        <f>#REF!</f>
        <v>#REF!</v>
      </c>
      <c r="Q41" s="11" t="e">
        <f>#REF!</f>
        <v>#REF!</v>
      </c>
      <c r="R41" s="11" t="e">
        <f>#REF!</f>
        <v>#REF!</v>
      </c>
      <c r="S41" s="11" t="e">
        <f>#REF!</f>
        <v>#REF!</v>
      </c>
      <c r="U41" s="11" t="e">
        <f>#REF!</f>
        <v>#REF!</v>
      </c>
      <c r="W41" s="11" t="e">
        <f t="shared" si="3"/>
        <v>#REF!</v>
      </c>
      <c r="X41" s="11" t="e">
        <f t="shared" si="4"/>
        <v>#REF!</v>
      </c>
      <c r="Y41" s="11" t="e">
        <f t="shared" si="5"/>
        <v>#REF!</v>
      </c>
      <c r="Z41" s="11" t="e">
        <f t="shared" si="6"/>
        <v>#REF!</v>
      </c>
      <c r="AA41" s="11" t="e">
        <f t="shared" si="7"/>
        <v>#REF!</v>
      </c>
    </row>
    <row r="42" spans="2:27" x14ac:dyDescent="0.2">
      <c r="B42" s="9">
        <v>2</v>
      </c>
      <c r="C42" s="9" t="s">
        <v>36</v>
      </c>
      <c r="D42" s="10" t="s">
        <v>13</v>
      </c>
      <c r="E42" s="20" t="s">
        <v>18</v>
      </c>
      <c r="F42" s="10" t="str">
        <f t="shared" si="1"/>
        <v>2FPECONOMY</v>
      </c>
      <c r="G42" s="11">
        <v>24.056749999999997</v>
      </c>
      <c r="H42" s="11">
        <v>22.334749999999996</v>
      </c>
      <c r="I42" s="11">
        <v>19.444249999999997</v>
      </c>
      <c r="J42" s="11">
        <v>18.870249999999999</v>
      </c>
      <c r="K42" s="11">
        <v>17.712</v>
      </c>
      <c r="M42" s="11">
        <f t="shared" si="2"/>
        <v>11.61</v>
      </c>
      <c r="O42" s="11" t="e">
        <f>#REF!</f>
        <v>#REF!</v>
      </c>
      <c r="P42" s="11" t="e">
        <f>#REF!</f>
        <v>#REF!</v>
      </c>
      <c r="Q42" s="11" t="e">
        <f>#REF!</f>
        <v>#REF!</v>
      </c>
      <c r="R42" s="11" t="e">
        <f>#REF!</f>
        <v>#REF!</v>
      </c>
      <c r="S42" s="11" t="e">
        <f>#REF!</f>
        <v>#REF!</v>
      </c>
      <c r="U42" s="11" t="e">
        <f>#REF!</f>
        <v>#REF!</v>
      </c>
      <c r="W42" s="11" t="e">
        <f t="shared" si="3"/>
        <v>#REF!</v>
      </c>
      <c r="X42" s="11" t="e">
        <f t="shared" si="4"/>
        <v>#REF!</v>
      </c>
      <c r="Y42" s="11" t="e">
        <f t="shared" si="5"/>
        <v>#REF!</v>
      </c>
      <c r="Z42" s="11" t="e">
        <f t="shared" si="6"/>
        <v>#REF!</v>
      </c>
      <c r="AA42" s="11" t="e">
        <f t="shared" si="7"/>
        <v>#REF!</v>
      </c>
    </row>
    <row r="43" spans="2:27" x14ac:dyDescent="0.2">
      <c r="B43" s="9">
        <v>3</v>
      </c>
      <c r="C43" s="9" t="s">
        <v>36</v>
      </c>
      <c r="D43" s="10" t="s">
        <v>13</v>
      </c>
      <c r="E43" s="20" t="s">
        <v>18</v>
      </c>
      <c r="F43" s="10" t="str">
        <f t="shared" si="1"/>
        <v>3FPECONOMY</v>
      </c>
      <c r="G43" s="11">
        <v>26.998499999999996</v>
      </c>
      <c r="H43" s="11">
        <v>25.850499999999997</v>
      </c>
      <c r="I43" s="11">
        <v>21.811999999999998</v>
      </c>
      <c r="J43" s="11">
        <v>21.237999999999996</v>
      </c>
      <c r="K43" s="11">
        <v>20.663999999999998</v>
      </c>
      <c r="M43" s="11">
        <f t="shared" si="2"/>
        <v>11.61</v>
      </c>
      <c r="O43" s="11" t="e">
        <f>#REF!</f>
        <v>#REF!</v>
      </c>
      <c r="P43" s="11" t="e">
        <f>#REF!</f>
        <v>#REF!</v>
      </c>
      <c r="Q43" s="11" t="e">
        <f>#REF!</f>
        <v>#REF!</v>
      </c>
      <c r="R43" s="11" t="e">
        <f>#REF!</f>
        <v>#REF!</v>
      </c>
      <c r="S43" s="11" t="e">
        <f>#REF!</f>
        <v>#REF!</v>
      </c>
      <c r="U43" s="11" t="e">
        <f>#REF!</f>
        <v>#REF!</v>
      </c>
      <c r="W43" s="11" t="e">
        <f t="shared" si="3"/>
        <v>#REF!</v>
      </c>
      <c r="X43" s="11" t="e">
        <f t="shared" si="4"/>
        <v>#REF!</v>
      </c>
      <c r="Y43" s="11" t="e">
        <f t="shared" si="5"/>
        <v>#REF!</v>
      </c>
      <c r="Z43" s="11" t="e">
        <f t="shared" si="6"/>
        <v>#REF!</v>
      </c>
      <c r="AA43" s="11" t="e">
        <f t="shared" si="7"/>
        <v>#REF!</v>
      </c>
    </row>
    <row r="44" spans="2:27" x14ac:dyDescent="0.2">
      <c r="B44" s="9">
        <v>4</v>
      </c>
      <c r="C44" s="9" t="s">
        <v>36</v>
      </c>
      <c r="D44" s="10" t="s">
        <v>13</v>
      </c>
      <c r="E44" s="20" t="s">
        <v>18</v>
      </c>
      <c r="F44" s="10" t="str">
        <f t="shared" si="1"/>
        <v>4FPECONOMY</v>
      </c>
      <c r="G44" s="11">
        <v>32.195249999999994</v>
      </c>
      <c r="H44" s="11">
        <v>30.473249999999997</v>
      </c>
      <c r="I44" s="11">
        <v>25.850499999999997</v>
      </c>
      <c r="J44" s="11">
        <v>25.276499999999999</v>
      </c>
      <c r="K44" s="11">
        <v>24.692249999999998</v>
      </c>
      <c r="M44" s="11">
        <f t="shared" si="2"/>
        <v>11.61</v>
      </c>
      <c r="O44" s="11" t="e">
        <f>#REF!</f>
        <v>#REF!</v>
      </c>
      <c r="P44" s="11" t="e">
        <f>#REF!</f>
        <v>#REF!</v>
      </c>
      <c r="Q44" s="11" t="e">
        <f>#REF!</f>
        <v>#REF!</v>
      </c>
      <c r="R44" s="11" t="e">
        <f>#REF!</f>
        <v>#REF!</v>
      </c>
      <c r="S44" s="11" t="e">
        <f>#REF!</f>
        <v>#REF!</v>
      </c>
      <c r="U44" s="11" t="e">
        <f>#REF!</f>
        <v>#REF!</v>
      </c>
      <c r="W44" s="11" t="e">
        <f t="shared" si="3"/>
        <v>#REF!</v>
      </c>
      <c r="X44" s="11" t="e">
        <f t="shared" si="4"/>
        <v>#REF!</v>
      </c>
      <c r="Y44" s="11" t="e">
        <f t="shared" si="5"/>
        <v>#REF!</v>
      </c>
      <c r="Z44" s="11" t="e">
        <f t="shared" si="6"/>
        <v>#REF!</v>
      </c>
      <c r="AA44" s="11" t="e">
        <f t="shared" si="7"/>
        <v>#REF!</v>
      </c>
    </row>
    <row r="45" spans="2:27" x14ac:dyDescent="0.2">
      <c r="B45" s="9">
        <v>5</v>
      </c>
      <c r="C45" s="9" t="s">
        <v>36</v>
      </c>
      <c r="D45" s="10" t="s">
        <v>13</v>
      </c>
      <c r="E45" s="20" t="s">
        <v>18</v>
      </c>
      <c r="F45" s="10" t="str">
        <f t="shared" si="1"/>
        <v>5FPECONOMY</v>
      </c>
      <c r="G45" s="11">
        <v>36.33625</v>
      </c>
      <c r="H45" s="11">
        <v>34.573249999999994</v>
      </c>
      <c r="I45" s="11">
        <v>29.878749999999997</v>
      </c>
      <c r="J45" s="11">
        <v>29.284249999999997</v>
      </c>
      <c r="K45" s="11">
        <v>28.699999999999996</v>
      </c>
      <c r="M45" s="11">
        <f t="shared" si="2"/>
        <v>11.61</v>
      </c>
      <c r="O45" s="11" t="e">
        <f>#REF!</f>
        <v>#REF!</v>
      </c>
      <c r="P45" s="11" t="e">
        <f>#REF!</f>
        <v>#REF!</v>
      </c>
      <c r="Q45" s="11" t="e">
        <f>#REF!</f>
        <v>#REF!</v>
      </c>
      <c r="R45" s="11" t="e">
        <f>#REF!</f>
        <v>#REF!</v>
      </c>
      <c r="S45" s="11" t="e">
        <f>#REF!</f>
        <v>#REF!</v>
      </c>
      <c r="U45" s="11" t="e">
        <f>#REF!</f>
        <v>#REF!</v>
      </c>
      <c r="W45" s="11" t="e">
        <f t="shared" si="3"/>
        <v>#REF!</v>
      </c>
      <c r="X45" s="11" t="e">
        <f t="shared" si="4"/>
        <v>#REF!</v>
      </c>
      <c r="Y45" s="11" t="e">
        <f t="shared" si="5"/>
        <v>#REF!</v>
      </c>
      <c r="Z45" s="11" t="e">
        <f t="shared" si="6"/>
        <v>#REF!</v>
      </c>
      <c r="AA45" s="11" t="e">
        <f t="shared" si="7"/>
        <v>#REF!</v>
      </c>
    </row>
    <row r="46" spans="2:27" x14ac:dyDescent="0.2">
      <c r="B46" s="9">
        <v>6</v>
      </c>
      <c r="C46" s="9" t="s">
        <v>36</v>
      </c>
      <c r="D46" s="10" t="s">
        <v>13</v>
      </c>
      <c r="E46" s="20" t="s">
        <v>18</v>
      </c>
      <c r="F46" s="10" t="str">
        <f t="shared" si="1"/>
        <v>6FPECONOMY</v>
      </c>
      <c r="G46" s="11">
        <v>45.745750000000001</v>
      </c>
      <c r="H46" s="11">
        <v>43.388249999999992</v>
      </c>
      <c r="I46" s="11">
        <v>38.109499999999997</v>
      </c>
      <c r="J46" s="11">
        <v>37.515000000000001</v>
      </c>
      <c r="K46" s="11">
        <v>36.33625</v>
      </c>
      <c r="M46" s="11">
        <f t="shared" si="2"/>
        <v>11.61</v>
      </c>
      <c r="O46" s="11" t="e">
        <f>#REF!</f>
        <v>#REF!</v>
      </c>
      <c r="P46" s="11" t="e">
        <f>#REF!</f>
        <v>#REF!</v>
      </c>
      <c r="Q46" s="11" t="e">
        <f>#REF!</f>
        <v>#REF!</v>
      </c>
      <c r="R46" s="11" t="e">
        <f>#REF!</f>
        <v>#REF!</v>
      </c>
      <c r="S46" s="11" t="e">
        <f>#REF!</f>
        <v>#REF!</v>
      </c>
      <c r="U46" s="11" t="e">
        <f>#REF!</f>
        <v>#REF!</v>
      </c>
      <c r="W46" s="11" t="e">
        <f t="shared" si="3"/>
        <v>#REF!</v>
      </c>
      <c r="X46" s="11" t="e">
        <f t="shared" si="4"/>
        <v>#REF!</v>
      </c>
      <c r="Y46" s="11" t="e">
        <f t="shared" si="5"/>
        <v>#REF!</v>
      </c>
      <c r="Z46" s="11" t="e">
        <f t="shared" si="6"/>
        <v>#REF!</v>
      </c>
      <c r="AA46" s="11" t="e">
        <f t="shared" si="7"/>
        <v>#REF!</v>
      </c>
    </row>
    <row r="47" spans="2:27" x14ac:dyDescent="0.2">
      <c r="B47" s="9">
        <v>7</v>
      </c>
      <c r="C47" s="9" t="s">
        <v>36</v>
      </c>
      <c r="D47" s="10" t="s">
        <v>13</v>
      </c>
      <c r="E47" s="20" t="s">
        <v>18</v>
      </c>
      <c r="F47" s="10" t="str">
        <f t="shared" si="1"/>
        <v>7FPECONOMY</v>
      </c>
      <c r="G47" s="11">
        <v>55.852249999999998</v>
      </c>
      <c r="H47" s="11">
        <v>53.545999999999999</v>
      </c>
      <c r="I47" s="11">
        <v>47.775249999999993</v>
      </c>
      <c r="J47" s="11">
        <v>47.211500000000001</v>
      </c>
      <c r="K47" s="11">
        <v>46.053249999999998</v>
      </c>
      <c r="M47" s="11">
        <f t="shared" si="2"/>
        <v>11.61</v>
      </c>
      <c r="O47" s="11" t="e">
        <f>#REF!</f>
        <v>#REF!</v>
      </c>
      <c r="P47" s="11" t="e">
        <f>#REF!</f>
        <v>#REF!</v>
      </c>
      <c r="Q47" s="11" t="e">
        <f>#REF!</f>
        <v>#REF!</v>
      </c>
      <c r="R47" s="11" t="e">
        <f>#REF!</f>
        <v>#REF!</v>
      </c>
      <c r="S47" s="11" t="e">
        <f>#REF!</f>
        <v>#REF!</v>
      </c>
      <c r="U47" s="11" t="e">
        <f>#REF!</f>
        <v>#REF!</v>
      </c>
      <c r="W47" s="11" t="e">
        <f t="shared" si="3"/>
        <v>#REF!</v>
      </c>
      <c r="X47" s="11" t="e">
        <f t="shared" si="4"/>
        <v>#REF!</v>
      </c>
      <c r="Y47" s="11" t="e">
        <f t="shared" si="5"/>
        <v>#REF!</v>
      </c>
      <c r="Z47" s="11" t="e">
        <f t="shared" si="6"/>
        <v>#REF!</v>
      </c>
      <c r="AA47" s="11" t="e">
        <f t="shared" si="7"/>
        <v>#REF!</v>
      </c>
    </row>
    <row r="48" spans="2:27" x14ac:dyDescent="0.2">
      <c r="B48" s="9">
        <v>8</v>
      </c>
      <c r="C48" s="9" t="s">
        <v>36</v>
      </c>
      <c r="D48" s="10" t="s">
        <v>13</v>
      </c>
      <c r="E48" s="20" t="s">
        <v>18</v>
      </c>
      <c r="F48" s="10" t="str">
        <f t="shared" si="1"/>
        <v>8FPECONOMY</v>
      </c>
      <c r="G48" s="11">
        <v>86.15124999999999</v>
      </c>
      <c r="H48" s="11">
        <v>84.377999999999986</v>
      </c>
      <c r="I48" s="11">
        <v>76.700749999999985</v>
      </c>
      <c r="J48" s="11">
        <v>75.522000000000006</v>
      </c>
      <c r="K48" s="11">
        <v>73.748750000000001</v>
      </c>
      <c r="M48" s="11">
        <f t="shared" si="2"/>
        <v>11.61</v>
      </c>
      <c r="O48" s="11" t="e">
        <f>#REF!</f>
        <v>#REF!</v>
      </c>
      <c r="P48" s="11" t="e">
        <f>#REF!</f>
        <v>#REF!</v>
      </c>
      <c r="Q48" s="11" t="e">
        <f>#REF!</f>
        <v>#REF!</v>
      </c>
      <c r="R48" s="11" t="e">
        <f>#REF!</f>
        <v>#REF!</v>
      </c>
      <c r="S48" s="11" t="e">
        <f>#REF!</f>
        <v>#REF!</v>
      </c>
      <c r="U48" s="11" t="e">
        <f>#REF!</f>
        <v>#REF!</v>
      </c>
      <c r="W48" s="11" t="e">
        <f t="shared" si="3"/>
        <v>#REF!</v>
      </c>
      <c r="X48" s="11" t="e">
        <f t="shared" si="4"/>
        <v>#REF!</v>
      </c>
      <c r="Y48" s="11" t="e">
        <f t="shared" si="5"/>
        <v>#REF!</v>
      </c>
      <c r="Z48" s="11" t="e">
        <f t="shared" si="6"/>
        <v>#REF!</v>
      </c>
      <c r="AA48" s="11" t="e">
        <f t="shared" si="7"/>
        <v>#REF!</v>
      </c>
    </row>
    <row r="49" spans="2:27" x14ac:dyDescent="0.2">
      <c r="B49" s="9">
        <v>9</v>
      </c>
      <c r="C49" s="9" t="s">
        <v>36</v>
      </c>
      <c r="D49" s="10" t="s">
        <v>13</v>
      </c>
      <c r="E49" s="20" t="s">
        <v>18</v>
      </c>
      <c r="F49" s="10" t="str">
        <f t="shared" si="1"/>
        <v>9FPECONOMY</v>
      </c>
      <c r="G49" s="11">
        <v>151.90499999999997</v>
      </c>
      <c r="H49" s="11">
        <v>148.63524999999998</v>
      </c>
      <c r="I49" s="11">
        <v>146.46224999999998</v>
      </c>
      <c r="J49" s="11">
        <v>140.47624999999999</v>
      </c>
      <c r="K49" s="11">
        <v>136.12</v>
      </c>
      <c r="M49" s="11">
        <f t="shared" si="2"/>
        <v>11.61</v>
      </c>
      <c r="O49" s="11" t="e">
        <f>#REF!</f>
        <v>#REF!</v>
      </c>
      <c r="P49" s="11" t="e">
        <f>#REF!</f>
        <v>#REF!</v>
      </c>
      <c r="Q49" s="11" t="e">
        <f>#REF!</f>
        <v>#REF!</v>
      </c>
      <c r="R49" s="11" t="e">
        <f>#REF!</f>
        <v>#REF!</v>
      </c>
      <c r="S49" s="11" t="e">
        <f>#REF!</f>
        <v>#REF!</v>
      </c>
      <c r="U49" s="11" t="e">
        <f>#REF!</f>
        <v>#REF!</v>
      </c>
      <c r="W49" s="11" t="e">
        <f t="shared" si="3"/>
        <v>#REF!</v>
      </c>
      <c r="X49" s="11" t="e">
        <f t="shared" si="4"/>
        <v>#REF!</v>
      </c>
      <c r="Y49" s="11" t="e">
        <f t="shared" si="5"/>
        <v>#REF!</v>
      </c>
      <c r="Z49" s="11" t="e">
        <f t="shared" si="6"/>
        <v>#REF!</v>
      </c>
      <c r="AA49" s="11" t="e">
        <f t="shared" si="7"/>
        <v>#REF!</v>
      </c>
    </row>
    <row r="50" spans="2:27" x14ac:dyDescent="0.2">
      <c r="B50" s="9">
        <v>10</v>
      </c>
      <c r="C50" s="9" t="s">
        <v>36</v>
      </c>
      <c r="D50" s="10" t="s">
        <v>13</v>
      </c>
      <c r="E50" s="20" t="s">
        <v>18</v>
      </c>
      <c r="F50" s="10" t="str">
        <f t="shared" si="1"/>
        <v>10FPECONOMY</v>
      </c>
      <c r="G50" s="11">
        <v>163.85650000000001</v>
      </c>
      <c r="H50" s="11">
        <v>161.14024999999998</v>
      </c>
      <c r="I50" s="11">
        <v>158.42399999999998</v>
      </c>
      <c r="J50" s="11">
        <v>148.09199999999998</v>
      </c>
      <c r="K50" s="11">
        <v>143.20275000000001</v>
      </c>
      <c r="M50" s="11">
        <f t="shared" si="2"/>
        <v>11.61</v>
      </c>
      <c r="O50" s="11" t="e">
        <f>#REF!</f>
        <v>#REF!</v>
      </c>
      <c r="P50" s="11" t="e">
        <f>#REF!</f>
        <v>#REF!</v>
      </c>
      <c r="Q50" s="11" t="e">
        <f>#REF!</f>
        <v>#REF!</v>
      </c>
      <c r="R50" s="11" t="e">
        <f>#REF!</f>
        <v>#REF!</v>
      </c>
      <c r="S50" s="11" t="e">
        <f>#REF!</f>
        <v>#REF!</v>
      </c>
      <c r="U50" s="11" t="e">
        <f>#REF!</f>
        <v>#REF!</v>
      </c>
      <c r="W50" s="11" t="e">
        <f t="shared" si="3"/>
        <v>#REF!</v>
      </c>
      <c r="X50" s="11" t="e">
        <f t="shared" si="4"/>
        <v>#REF!</v>
      </c>
      <c r="Y50" s="11" t="e">
        <f t="shared" si="5"/>
        <v>#REF!</v>
      </c>
      <c r="Z50" s="11" t="e">
        <f t="shared" si="6"/>
        <v>#REF!</v>
      </c>
      <c r="AA50" s="11" t="e">
        <f t="shared" si="7"/>
        <v>#REF!</v>
      </c>
    </row>
    <row r="51" spans="2:27" x14ac:dyDescent="0.2">
      <c r="B51" s="9">
        <v>11</v>
      </c>
      <c r="C51" s="9" t="s">
        <v>36</v>
      </c>
      <c r="D51" s="10" t="s">
        <v>13</v>
      </c>
      <c r="E51" s="20" t="s">
        <v>18</v>
      </c>
      <c r="F51" s="10" t="str">
        <f t="shared" si="1"/>
        <v>11FPECONOMY</v>
      </c>
      <c r="G51" s="11">
        <v>183.44424999999998</v>
      </c>
      <c r="H51" s="11">
        <v>180.18474999999998</v>
      </c>
      <c r="I51" s="11">
        <v>176.91499999999999</v>
      </c>
      <c r="J51" s="11">
        <v>173.65549999999996</v>
      </c>
      <c r="K51" s="11">
        <v>170.93924999999999</v>
      </c>
      <c r="M51" s="11">
        <f t="shared" si="2"/>
        <v>11.61</v>
      </c>
      <c r="O51" s="11" t="e">
        <f>#REF!</f>
        <v>#REF!</v>
      </c>
      <c r="P51" s="11" t="e">
        <f>#REF!</f>
        <v>#REF!</v>
      </c>
      <c r="Q51" s="11" t="e">
        <f>#REF!</f>
        <v>#REF!</v>
      </c>
      <c r="R51" s="11" t="e">
        <f>#REF!</f>
        <v>#REF!</v>
      </c>
      <c r="S51" s="11" t="e">
        <f>#REF!</f>
        <v>#REF!</v>
      </c>
      <c r="U51" s="11" t="e">
        <f>#REF!</f>
        <v>#REF!</v>
      </c>
      <c r="W51" s="11" t="e">
        <f t="shared" si="3"/>
        <v>#REF!</v>
      </c>
      <c r="X51" s="11" t="e">
        <f t="shared" si="4"/>
        <v>#REF!</v>
      </c>
      <c r="Y51" s="11" t="e">
        <f t="shared" si="5"/>
        <v>#REF!</v>
      </c>
      <c r="Z51" s="11" t="e">
        <f t="shared" si="6"/>
        <v>#REF!</v>
      </c>
      <c r="AA51" s="11" t="e">
        <f t="shared" si="7"/>
        <v>#REF!</v>
      </c>
    </row>
    <row r="52" spans="2:27" x14ac:dyDescent="0.2">
      <c r="B52" s="9">
        <v>12</v>
      </c>
      <c r="C52" s="9" t="s">
        <v>36</v>
      </c>
      <c r="D52" s="10" t="s">
        <v>13</v>
      </c>
      <c r="E52" s="20" t="s">
        <v>18</v>
      </c>
      <c r="F52" s="10" t="str">
        <f t="shared" si="1"/>
        <v>12FPECONOMY</v>
      </c>
      <c r="G52" s="11">
        <v>236.20099999999996</v>
      </c>
      <c r="H52" s="11">
        <v>235.11449999999996</v>
      </c>
      <c r="I52" s="11">
        <v>233.48474999999996</v>
      </c>
      <c r="J52" s="11">
        <v>233.48474999999996</v>
      </c>
      <c r="K52" s="11">
        <v>231.30149999999998</v>
      </c>
      <c r="M52" s="11">
        <f t="shared" si="2"/>
        <v>11.61</v>
      </c>
      <c r="O52" s="11" t="e">
        <f>#REF!</f>
        <v>#REF!</v>
      </c>
      <c r="P52" s="11" t="e">
        <f>#REF!</f>
        <v>#REF!</v>
      </c>
      <c r="Q52" s="11" t="e">
        <f>#REF!</f>
        <v>#REF!</v>
      </c>
      <c r="R52" s="11" t="e">
        <f>#REF!</f>
        <v>#REF!</v>
      </c>
      <c r="S52" s="11" t="e">
        <f>#REF!</f>
        <v>#REF!</v>
      </c>
      <c r="U52" s="11" t="e">
        <f>#REF!</f>
        <v>#REF!</v>
      </c>
      <c r="W52" s="11" t="e">
        <f t="shared" si="3"/>
        <v>#REF!</v>
      </c>
      <c r="X52" s="11" t="e">
        <f t="shared" si="4"/>
        <v>#REF!</v>
      </c>
      <c r="Y52" s="11" t="e">
        <f t="shared" si="5"/>
        <v>#REF!</v>
      </c>
      <c r="Z52" s="11" t="e">
        <f t="shared" si="6"/>
        <v>#REF!</v>
      </c>
      <c r="AA52" s="11" t="e">
        <f t="shared" si="7"/>
        <v>#REF!</v>
      </c>
    </row>
    <row r="53" spans="2:27" x14ac:dyDescent="0.2">
      <c r="B53" s="9">
        <v>13</v>
      </c>
      <c r="C53" s="9" t="s">
        <v>36</v>
      </c>
      <c r="D53" s="10" t="s">
        <v>13</v>
      </c>
      <c r="E53" s="20" t="s">
        <v>18</v>
      </c>
      <c r="F53" s="10" t="str">
        <f t="shared" ref="F53:F54" si="15">B53&amp;D53&amp;E53</f>
        <v>13FPECONOMY</v>
      </c>
      <c r="G53" s="11">
        <v>296.22499999999997</v>
      </c>
      <c r="H53" s="11">
        <v>296.22499999999997</v>
      </c>
      <c r="I53" s="11">
        <v>296.22499999999997</v>
      </c>
      <c r="J53" s="11">
        <v>296.22499999999997</v>
      </c>
      <c r="K53" s="11">
        <v>296.22499999999997</v>
      </c>
      <c r="M53" s="11">
        <f t="shared" si="2"/>
        <v>11.61</v>
      </c>
      <c r="O53" s="11" t="e">
        <f>#REF!</f>
        <v>#REF!</v>
      </c>
      <c r="P53" s="11" t="e">
        <f>#REF!</f>
        <v>#REF!</v>
      </c>
      <c r="Q53" s="11" t="e">
        <f>#REF!</f>
        <v>#REF!</v>
      </c>
      <c r="R53" s="11" t="e">
        <f>#REF!</f>
        <v>#REF!</v>
      </c>
      <c r="S53" s="11" t="e">
        <f>#REF!</f>
        <v>#REF!</v>
      </c>
      <c r="U53" s="11" t="e">
        <f>#REF!</f>
        <v>#REF!</v>
      </c>
      <c r="W53" s="11" t="e">
        <f t="shared" ref="W53:W54" si="16">G53+$M53+O53+$U53</f>
        <v>#REF!</v>
      </c>
      <c r="X53" s="11" t="e">
        <f t="shared" ref="X53:X54" si="17">H53+$M53+P53+$U53</f>
        <v>#REF!</v>
      </c>
      <c r="Y53" s="11" t="e">
        <f t="shared" ref="Y53:Y54" si="18">I53+$M53+Q53+$U53</f>
        <v>#REF!</v>
      </c>
      <c r="Z53" s="11" t="e">
        <f t="shared" ref="Z53:Z54" si="19">J53+$M53+R53+$U53</f>
        <v>#REF!</v>
      </c>
      <c r="AA53" s="11" t="e">
        <f t="shared" ref="AA53:AA54" si="20">K53+$M53+S53+$U53</f>
        <v>#REF!</v>
      </c>
    </row>
    <row r="54" spans="2:27" x14ac:dyDescent="0.2">
      <c r="B54" s="9">
        <v>14</v>
      </c>
      <c r="C54" s="9" t="s">
        <v>36</v>
      </c>
      <c r="D54" s="10" t="s">
        <v>13</v>
      </c>
      <c r="E54" s="20" t="s">
        <v>18</v>
      </c>
      <c r="F54" s="10" t="str">
        <f t="shared" si="15"/>
        <v>14FPECONOMY</v>
      </c>
      <c r="G54" s="11">
        <v>328</v>
      </c>
      <c r="H54" s="11">
        <v>328</v>
      </c>
      <c r="I54" s="11">
        <v>328</v>
      </c>
      <c r="J54" s="11">
        <v>328</v>
      </c>
      <c r="K54" s="11">
        <v>328</v>
      </c>
      <c r="M54" s="11">
        <f t="shared" si="2"/>
        <v>11.61</v>
      </c>
      <c r="O54" s="11" t="e">
        <f>#REF!</f>
        <v>#REF!</v>
      </c>
      <c r="P54" s="11" t="e">
        <f>#REF!</f>
        <v>#REF!</v>
      </c>
      <c r="Q54" s="11" t="e">
        <f>#REF!</f>
        <v>#REF!</v>
      </c>
      <c r="R54" s="11" t="e">
        <f>#REF!</f>
        <v>#REF!</v>
      </c>
      <c r="S54" s="11" t="e">
        <f>#REF!</f>
        <v>#REF!</v>
      </c>
      <c r="U54" s="11" t="e">
        <f>#REF!</f>
        <v>#REF!</v>
      </c>
      <c r="W54" s="11" t="e">
        <f t="shared" si="16"/>
        <v>#REF!</v>
      </c>
      <c r="X54" s="11" t="e">
        <f t="shared" si="17"/>
        <v>#REF!</v>
      </c>
      <c r="Y54" s="11" t="e">
        <f t="shared" si="18"/>
        <v>#REF!</v>
      </c>
      <c r="Z54" s="11" t="e">
        <f t="shared" si="19"/>
        <v>#REF!</v>
      </c>
      <c r="AA54" s="11" t="e">
        <f t="shared" si="20"/>
        <v>#REF!</v>
      </c>
    </row>
    <row r="55" spans="2:27" x14ac:dyDescent="0.2">
      <c r="B55" s="9">
        <v>21</v>
      </c>
      <c r="C55" s="9" t="s">
        <v>37</v>
      </c>
      <c r="D55" s="10" t="s">
        <v>13</v>
      </c>
      <c r="E55" s="20" t="s">
        <v>18</v>
      </c>
      <c r="F55" s="10" t="str">
        <f t="shared" si="1"/>
        <v>21FPECONOMY</v>
      </c>
      <c r="G55" s="12">
        <v>15.682499999999999</v>
      </c>
      <c r="H55" s="12">
        <v>13.960499999999998</v>
      </c>
      <c r="I55" s="12">
        <v>12.802249999999999</v>
      </c>
      <c r="J55" s="12">
        <v>12.228249999999999</v>
      </c>
      <c r="K55" s="12">
        <v>11.654249999999998</v>
      </c>
      <c r="M55" s="12">
        <f t="shared" si="2"/>
        <v>11.51</v>
      </c>
      <c r="O55" s="12" t="e">
        <f>#REF!</f>
        <v>#REF!</v>
      </c>
      <c r="P55" s="12" t="e">
        <f>#REF!</f>
        <v>#REF!</v>
      </c>
      <c r="Q55" s="12" t="e">
        <f>#REF!</f>
        <v>#REF!</v>
      </c>
      <c r="R55" s="12" t="e">
        <f>#REF!</f>
        <v>#REF!</v>
      </c>
      <c r="S55" s="12" t="e">
        <f>#REF!</f>
        <v>#REF!</v>
      </c>
      <c r="U55" s="12" t="e">
        <f>#REF!</f>
        <v>#REF!</v>
      </c>
      <c r="W55" s="12" t="e">
        <f t="shared" si="3"/>
        <v>#REF!</v>
      </c>
      <c r="X55" s="12" t="e">
        <f t="shared" si="4"/>
        <v>#REF!</v>
      </c>
      <c r="Y55" s="12" t="e">
        <f t="shared" si="5"/>
        <v>#REF!</v>
      </c>
      <c r="Z55" s="12" t="e">
        <f t="shared" si="6"/>
        <v>#REF!</v>
      </c>
      <c r="AA55" s="12" t="e">
        <f t="shared" si="7"/>
        <v>#REF!</v>
      </c>
    </row>
    <row r="56" spans="2:27" x14ac:dyDescent="0.2">
      <c r="B56" s="9">
        <v>22</v>
      </c>
      <c r="C56" s="9" t="s">
        <v>37</v>
      </c>
      <c r="D56" s="10" t="s">
        <v>13</v>
      </c>
      <c r="E56" s="20" t="s">
        <v>18</v>
      </c>
      <c r="F56" s="10" t="str">
        <f t="shared" si="1"/>
        <v>22FPECONOMY</v>
      </c>
      <c r="G56" s="12">
        <v>19.433999999999997</v>
      </c>
      <c r="H56" s="12">
        <v>17.681249999999999</v>
      </c>
      <c r="I56" s="12">
        <v>15.918249999999999</v>
      </c>
      <c r="J56" s="12">
        <v>15.344249999999999</v>
      </c>
      <c r="K56" s="12">
        <v>14.76</v>
      </c>
      <c r="M56" s="12">
        <f t="shared" si="2"/>
        <v>11.51</v>
      </c>
      <c r="O56" s="12" t="e">
        <f>#REF!</f>
        <v>#REF!</v>
      </c>
      <c r="P56" s="12" t="e">
        <f>#REF!</f>
        <v>#REF!</v>
      </c>
      <c r="Q56" s="12" t="e">
        <f>#REF!</f>
        <v>#REF!</v>
      </c>
      <c r="R56" s="12" t="e">
        <f>#REF!</f>
        <v>#REF!</v>
      </c>
      <c r="S56" s="12" t="e">
        <f>#REF!</f>
        <v>#REF!</v>
      </c>
      <c r="U56" s="12" t="e">
        <f>#REF!</f>
        <v>#REF!</v>
      </c>
      <c r="W56" s="12" t="e">
        <f t="shared" si="3"/>
        <v>#REF!</v>
      </c>
      <c r="X56" s="12" t="e">
        <f t="shared" si="4"/>
        <v>#REF!</v>
      </c>
      <c r="Y56" s="12" t="e">
        <f t="shared" si="5"/>
        <v>#REF!</v>
      </c>
      <c r="Z56" s="12" t="e">
        <f t="shared" si="6"/>
        <v>#REF!</v>
      </c>
      <c r="AA56" s="12" t="e">
        <f t="shared" si="7"/>
        <v>#REF!</v>
      </c>
    </row>
    <row r="57" spans="2:27" x14ac:dyDescent="0.2">
      <c r="B57" s="9">
        <v>23</v>
      </c>
      <c r="C57" s="9" t="s">
        <v>37</v>
      </c>
      <c r="D57" s="10" t="s">
        <v>13</v>
      </c>
      <c r="E57" s="20" t="s">
        <v>18</v>
      </c>
      <c r="F57" s="10" t="str">
        <f t="shared" si="1"/>
        <v>23FPECONOMY</v>
      </c>
      <c r="G57" s="12">
        <v>22.734499999999997</v>
      </c>
      <c r="H57" s="12">
        <v>20.991999999999997</v>
      </c>
      <c r="I57" s="12">
        <v>19.249500000000001</v>
      </c>
      <c r="J57" s="12">
        <v>18.66525</v>
      </c>
      <c r="K57" s="12">
        <v>18.091249999999999</v>
      </c>
      <c r="M57" s="12">
        <f t="shared" si="2"/>
        <v>11.51</v>
      </c>
      <c r="O57" s="12" t="e">
        <f>#REF!</f>
        <v>#REF!</v>
      </c>
      <c r="P57" s="12" t="e">
        <f>#REF!</f>
        <v>#REF!</v>
      </c>
      <c r="Q57" s="12" t="e">
        <f>#REF!</f>
        <v>#REF!</v>
      </c>
      <c r="R57" s="12" t="e">
        <f>#REF!</f>
        <v>#REF!</v>
      </c>
      <c r="S57" s="12" t="e">
        <f>#REF!</f>
        <v>#REF!</v>
      </c>
      <c r="U57" s="12" t="e">
        <f>#REF!</f>
        <v>#REF!</v>
      </c>
      <c r="W57" s="12" t="e">
        <f t="shared" si="3"/>
        <v>#REF!</v>
      </c>
      <c r="X57" s="12" t="e">
        <f t="shared" si="4"/>
        <v>#REF!</v>
      </c>
      <c r="Y57" s="12" t="e">
        <f t="shared" si="5"/>
        <v>#REF!</v>
      </c>
      <c r="Z57" s="12" t="e">
        <f t="shared" si="6"/>
        <v>#REF!</v>
      </c>
      <c r="AA57" s="12" t="e">
        <f t="shared" si="7"/>
        <v>#REF!</v>
      </c>
    </row>
    <row r="58" spans="2:27" x14ac:dyDescent="0.2">
      <c r="B58" s="9">
        <v>24</v>
      </c>
      <c r="C58" s="9" t="s">
        <v>37</v>
      </c>
      <c r="D58" s="10" t="s">
        <v>13</v>
      </c>
      <c r="E58" s="20" t="s">
        <v>18</v>
      </c>
      <c r="F58" s="10" t="str">
        <f t="shared" si="1"/>
        <v>24FPECONOMY</v>
      </c>
      <c r="G58" s="12">
        <v>25.0305</v>
      </c>
      <c r="H58" s="12">
        <v>22.60125</v>
      </c>
      <c r="I58" s="12">
        <v>20.786999999999999</v>
      </c>
      <c r="J58" s="12">
        <v>20.171999999999997</v>
      </c>
      <c r="K58" s="12">
        <v>19.567249999999998</v>
      </c>
      <c r="M58" s="12">
        <f t="shared" si="2"/>
        <v>11.51</v>
      </c>
      <c r="O58" s="12" t="e">
        <f>#REF!</f>
        <v>#REF!</v>
      </c>
      <c r="P58" s="12" t="e">
        <f>#REF!</f>
        <v>#REF!</v>
      </c>
      <c r="Q58" s="12" t="e">
        <f>#REF!</f>
        <v>#REF!</v>
      </c>
      <c r="R58" s="12" t="e">
        <f>#REF!</f>
        <v>#REF!</v>
      </c>
      <c r="S58" s="12" t="e">
        <f>#REF!</f>
        <v>#REF!</v>
      </c>
      <c r="U58" s="12" t="e">
        <f>#REF!</f>
        <v>#REF!</v>
      </c>
      <c r="W58" s="12" t="e">
        <f t="shared" si="3"/>
        <v>#REF!</v>
      </c>
      <c r="X58" s="12" t="e">
        <f t="shared" si="4"/>
        <v>#REF!</v>
      </c>
      <c r="Y58" s="12" t="e">
        <f t="shared" si="5"/>
        <v>#REF!</v>
      </c>
      <c r="Z58" s="12" t="e">
        <f t="shared" si="6"/>
        <v>#REF!</v>
      </c>
      <c r="AA58" s="12" t="e">
        <f t="shared" si="7"/>
        <v>#REF!</v>
      </c>
    </row>
    <row r="59" spans="2:27" x14ac:dyDescent="0.2">
      <c r="B59" s="9">
        <v>25</v>
      </c>
      <c r="C59" s="9" t="s">
        <v>37</v>
      </c>
      <c r="D59" s="10" t="s">
        <v>13</v>
      </c>
      <c r="E59" s="20" t="s">
        <v>18</v>
      </c>
      <c r="F59" s="10" t="str">
        <f t="shared" si="1"/>
        <v>25FPECONOMY</v>
      </c>
      <c r="G59" s="12">
        <v>28.248999999999995</v>
      </c>
      <c r="H59" s="12">
        <v>26.526999999999997</v>
      </c>
      <c r="I59" s="12">
        <v>24.815249999999999</v>
      </c>
      <c r="J59" s="12">
        <v>24.241249999999997</v>
      </c>
      <c r="K59" s="12">
        <v>23.656999999999996</v>
      </c>
      <c r="M59" s="12">
        <f t="shared" si="2"/>
        <v>11.51</v>
      </c>
      <c r="O59" s="12" t="e">
        <f>#REF!</f>
        <v>#REF!</v>
      </c>
      <c r="P59" s="12" t="e">
        <f>#REF!</f>
        <v>#REF!</v>
      </c>
      <c r="Q59" s="12" t="e">
        <f>#REF!</f>
        <v>#REF!</v>
      </c>
      <c r="R59" s="12" t="e">
        <f>#REF!</f>
        <v>#REF!</v>
      </c>
      <c r="S59" s="12" t="e">
        <f>#REF!</f>
        <v>#REF!</v>
      </c>
      <c r="U59" s="12" t="e">
        <f>#REF!</f>
        <v>#REF!</v>
      </c>
      <c r="W59" s="12" t="e">
        <f t="shared" si="3"/>
        <v>#REF!</v>
      </c>
      <c r="X59" s="12" t="e">
        <f t="shared" si="4"/>
        <v>#REF!</v>
      </c>
      <c r="Y59" s="12" t="e">
        <f t="shared" si="5"/>
        <v>#REF!</v>
      </c>
      <c r="Z59" s="12" t="e">
        <f t="shared" si="6"/>
        <v>#REF!</v>
      </c>
      <c r="AA59" s="12" t="e">
        <f t="shared" si="7"/>
        <v>#REF!</v>
      </c>
    </row>
    <row r="60" spans="2:27" x14ac:dyDescent="0.2">
      <c r="B60" s="9">
        <v>26</v>
      </c>
      <c r="C60" s="9" t="s">
        <v>37</v>
      </c>
      <c r="D60" s="10" t="s">
        <v>13</v>
      </c>
      <c r="E60" s="20" t="s">
        <v>18</v>
      </c>
      <c r="F60" s="10" t="str">
        <f t="shared" si="1"/>
        <v>26FPECONOMY</v>
      </c>
      <c r="G60" s="12">
        <v>30.903749999999995</v>
      </c>
      <c r="H60" s="12">
        <v>29.171499999999998</v>
      </c>
      <c r="I60" s="12">
        <v>27.4495</v>
      </c>
      <c r="J60" s="12">
        <v>26.86525</v>
      </c>
      <c r="K60" s="12">
        <v>26.31175</v>
      </c>
      <c r="M60" s="12">
        <f t="shared" si="2"/>
        <v>11.51</v>
      </c>
      <c r="O60" s="12" t="e">
        <f>#REF!</f>
        <v>#REF!</v>
      </c>
      <c r="P60" s="12" t="e">
        <f>#REF!</f>
        <v>#REF!</v>
      </c>
      <c r="Q60" s="12" t="e">
        <f>#REF!</f>
        <v>#REF!</v>
      </c>
      <c r="R60" s="12" t="e">
        <f>#REF!</f>
        <v>#REF!</v>
      </c>
      <c r="S60" s="12" t="e">
        <f>#REF!</f>
        <v>#REF!</v>
      </c>
      <c r="U60" s="12" t="e">
        <f>#REF!</f>
        <v>#REF!</v>
      </c>
      <c r="W60" s="12" t="e">
        <f t="shared" si="3"/>
        <v>#REF!</v>
      </c>
      <c r="X60" s="12" t="e">
        <f t="shared" si="4"/>
        <v>#REF!</v>
      </c>
      <c r="Y60" s="12" t="e">
        <f t="shared" si="5"/>
        <v>#REF!</v>
      </c>
      <c r="Z60" s="12" t="e">
        <f t="shared" si="6"/>
        <v>#REF!</v>
      </c>
      <c r="AA60" s="12" t="e">
        <f t="shared" si="7"/>
        <v>#REF!</v>
      </c>
    </row>
    <row r="61" spans="2:27" x14ac:dyDescent="0.2">
      <c r="B61" s="9">
        <v>27</v>
      </c>
      <c r="C61" s="9" t="s">
        <v>37</v>
      </c>
      <c r="D61" s="10" t="s">
        <v>13</v>
      </c>
      <c r="E61" s="20" t="s">
        <v>18</v>
      </c>
      <c r="F61" s="10" t="str">
        <f t="shared" si="1"/>
        <v>27FPECONOMY</v>
      </c>
      <c r="G61" s="12">
        <v>146.79024999999999</v>
      </c>
      <c r="H61" s="12">
        <v>143.53074999999998</v>
      </c>
      <c r="I61" s="12">
        <v>140.80425</v>
      </c>
      <c r="J61" s="12">
        <v>135.37174999999999</v>
      </c>
      <c r="K61" s="12">
        <v>131.02574999999999</v>
      </c>
      <c r="M61" s="12">
        <f t="shared" si="2"/>
        <v>11.51</v>
      </c>
      <c r="O61" s="12" t="e">
        <f>#REF!</f>
        <v>#REF!</v>
      </c>
      <c r="P61" s="12" t="e">
        <f>#REF!</f>
        <v>#REF!</v>
      </c>
      <c r="Q61" s="12" t="e">
        <f>#REF!</f>
        <v>#REF!</v>
      </c>
      <c r="R61" s="12" t="e">
        <f>#REF!</f>
        <v>#REF!</v>
      </c>
      <c r="S61" s="12" t="e">
        <f>#REF!</f>
        <v>#REF!</v>
      </c>
      <c r="U61" s="12" t="e">
        <f>#REF!</f>
        <v>#REF!</v>
      </c>
      <c r="W61" s="12" t="e">
        <f t="shared" si="3"/>
        <v>#REF!</v>
      </c>
      <c r="X61" s="12" t="e">
        <f t="shared" si="4"/>
        <v>#REF!</v>
      </c>
      <c r="Y61" s="12" t="e">
        <f t="shared" si="5"/>
        <v>#REF!</v>
      </c>
      <c r="Z61" s="12" t="e">
        <f t="shared" si="6"/>
        <v>#REF!</v>
      </c>
      <c r="AA61" s="12" t="e">
        <f t="shared" si="7"/>
        <v>#REF!</v>
      </c>
    </row>
    <row r="62" spans="2:27" x14ac:dyDescent="0.2">
      <c r="B62" s="9">
        <v>28</v>
      </c>
      <c r="C62" s="9" t="s">
        <v>37</v>
      </c>
      <c r="D62" s="10" t="s">
        <v>13</v>
      </c>
      <c r="E62" s="20" t="s">
        <v>18</v>
      </c>
      <c r="F62" s="10" t="str">
        <f t="shared" si="1"/>
        <v>28FPECONOMY</v>
      </c>
      <c r="G62" s="12">
        <v>153.31950000000001</v>
      </c>
      <c r="H62" s="12">
        <v>150.59299999999996</v>
      </c>
      <c r="I62" s="12">
        <v>147.87674999999999</v>
      </c>
      <c r="J62" s="12">
        <v>137.54474999999999</v>
      </c>
      <c r="K62" s="12">
        <v>134.28524999999999</v>
      </c>
      <c r="M62" s="12">
        <f t="shared" si="2"/>
        <v>11.51</v>
      </c>
      <c r="O62" s="12" t="e">
        <f>#REF!</f>
        <v>#REF!</v>
      </c>
      <c r="P62" s="12" t="e">
        <f>#REF!</f>
        <v>#REF!</v>
      </c>
      <c r="Q62" s="12" t="e">
        <f>#REF!</f>
        <v>#REF!</v>
      </c>
      <c r="R62" s="12" t="e">
        <f>#REF!</f>
        <v>#REF!</v>
      </c>
      <c r="S62" s="12" t="e">
        <f>#REF!</f>
        <v>#REF!</v>
      </c>
      <c r="U62" s="12" t="e">
        <f>#REF!</f>
        <v>#REF!</v>
      </c>
      <c r="W62" s="12" t="e">
        <f t="shared" si="3"/>
        <v>#REF!</v>
      </c>
      <c r="X62" s="12" t="e">
        <f t="shared" si="4"/>
        <v>#REF!</v>
      </c>
      <c r="Y62" s="12" t="e">
        <f t="shared" si="5"/>
        <v>#REF!</v>
      </c>
      <c r="Z62" s="12" t="e">
        <f t="shared" si="6"/>
        <v>#REF!</v>
      </c>
      <c r="AA62" s="12" t="e">
        <f t="shared" si="7"/>
        <v>#REF!</v>
      </c>
    </row>
    <row r="63" spans="2:27" x14ac:dyDescent="0.2">
      <c r="B63" s="9">
        <v>31</v>
      </c>
      <c r="C63" s="9" t="s">
        <v>46</v>
      </c>
      <c r="D63" s="10" t="s">
        <v>13</v>
      </c>
      <c r="E63" s="20" t="s">
        <v>18</v>
      </c>
      <c r="F63" s="10" t="str">
        <f t="shared" si="1"/>
        <v>31FPECONOMY</v>
      </c>
      <c r="G63" s="13">
        <v>15.395499999999998</v>
      </c>
      <c r="H63" s="13">
        <v>13.673499999999999</v>
      </c>
      <c r="I63" s="13">
        <v>12.525499999999999</v>
      </c>
      <c r="J63" s="13">
        <v>11.94125</v>
      </c>
      <c r="K63" s="13">
        <v>11.367249999999999</v>
      </c>
      <c r="M63" s="13">
        <f t="shared" si="2"/>
        <v>10.81</v>
      </c>
      <c r="O63" s="13" t="e">
        <f>#REF!</f>
        <v>#REF!</v>
      </c>
      <c r="P63" s="13" t="e">
        <f>#REF!</f>
        <v>#REF!</v>
      </c>
      <c r="Q63" s="13" t="e">
        <f>#REF!</f>
        <v>#REF!</v>
      </c>
      <c r="R63" s="13" t="e">
        <f>#REF!</f>
        <v>#REF!</v>
      </c>
      <c r="S63" s="13" t="e">
        <f>#REF!</f>
        <v>#REF!</v>
      </c>
      <c r="U63" s="13" t="e">
        <f>#REF!</f>
        <v>#REF!</v>
      </c>
      <c r="W63" s="13" t="e">
        <f t="shared" si="3"/>
        <v>#REF!</v>
      </c>
      <c r="X63" s="13" t="e">
        <f t="shared" si="4"/>
        <v>#REF!</v>
      </c>
      <c r="Y63" s="13" t="e">
        <f t="shared" si="5"/>
        <v>#REF!</v>
      </c>
      <c r="Z63" s="13" t="e">
        <f t="shared" si="6"/>
        <v>#REF!</v>
      </c>
      <c r="AA63" s="13" t="e">
        <f t="shared" si="7"/>
        <v>#REF!</v>
      </c>
    </row>
    <row r="64" spans="2:27" x14ac:dyDescent="0.2">
      <c r="B64" s="9">
        <v>32</v>
      </c>
      <c r="C64" s="9" t="s">
        <v>46</v>
      </c>
      <c r="D64" s="10" t="s">
        <v>13</v>
      </c>
      <c r="E64" s="20" t="s">
        <v>18</v>
      </c>
      <c r="F64" s="10" t="str">
        <f t="shared" si="1"/>
        <v>32FPECONOMY</v>
      </c>
      <c r="G64" s="13">
        <v>19.228999999999999</v>
      </c>
      <c r="H64" s="13">
        <v>17.43525</v>
      </c>
      <c r="I64" s="13">
        <v>16.235999999999997</v>
      </c>
      <c r="J64" s="13">
        <v>15.620999999999999</v>
      </c>
      <c r="K64" s="13">
        <v>15.026499999999999</v>
      </c>
      <c r="M64" s="13">
        <f t="shared" si="2"/>
        <v>10.81</v>
      </c>
      <c r="O64" s="13" t="e">
        <f>#REF!</f>
        <v>#REF!</v>
      </c>
      <c r="P64" s="13" t="e">
        <f>#REF!</f>
        <v>#REF!</v>
      </c>
      <c r="Q64" s="13" t="e">
        <f>#REF!</f>
        <v>#REF!</v>
      </c>
      <c r="R64" s="13" t="e">
        <f>#REF!</f>
        <v>#REF!</v>
      </c>
      <c r="S64" s="13" t="e">
        <f>#REF!</f>
        <v>#REF!</v>
      </c>
      <c r="U64" s="13" t="e">
        <f>#REF!</f>
        <v>#REF!</v>
      </c>
      <c r="W64" s="13" t="e">
        <f t="shared" si="3"/>
        <v>#REF!</v>
      </c>
      <c r="X64" s="13" t="e">
        <f t="shared" si="4"/>
        <v>#REF!</v>
      </c>
      <c r="Y64" s="13" t="e">
        <f t="shared" si="5"/>
        <v>#REF!</v>
      </c>
      <c r="Z64" s="13" t="e">
        <f t="shared" si="6"/>
        <v>#REF!</v>
      </c>
      <c r="AA64" s="13" t="e">
        <f t="shared" si="7"/>
        <v>#REF!</v>
      </c>
    </row>
    <row r="65" spans="2:27" x14ac:dyDescent="0.2">
      <c r="B65" s="9">
        <v>33</v>
      </c>
      <c r="C65" s="9" t="s">
        <v>46</v>
      </c>
      <c r="D65" s="10" t="s">
        <v>13</v>
      </c>
      <c r="E65" s="20" t="s">
        <v>18</v>
      </c>
      <c r="F65" s="10" t="str">
        <f t="shared" si="1"/>
        <v>33FPECONOMY</v>
      </c>
      <c r="G65" s="13">
        <v>22.406499999999998</v>
      </c>
      <c r="H65" s="13">
        <v>20.6435</v>
      </c>
      <c r="I65" s="13">
        <v>19.474999999999998</v>
      </c>
      <c r="J65" s="13">
        <v>18.880500000000001</v>
      </c>
      <c r="K65" s="13">
        <v>18.296250000000001</v>
      </c>
      <c r="M65" s="13">
        <f t="shared" si="2"/>
        <v>10.81</v>
      </c>
      <c r="O65" s="13" t="e">
        <f>#REF!</f>
        <v>#REF!</v>
      </c>
      <c r="P65" s="13" t="e">
        <f>#REF!</f>
        <v>#REF!</v>
      </c>
      <c r="Q65" s="13" t="e">
        <f>#REF!</f>
        <v>#REF!</v>
      </c>
      <c r="R65" s="13" t="e">
        <f>#REF!</f>
        <v>#REF!</v>
      </c>
      <c r="S65" s="13" t="e">
        <f>#REF!</f>
        <v>#REF!</v>
      </c>
      <c r="U65" s="13" t="e">
        <f>#REF!</f>
        <v>#REF!</v>
      </c>
      <c r="W65" s="13" t="e">
        <f t="shared" si="3"/>
        <v>#REF!</v>
      </c>
      <c r="X65" s="13" t="e">
        <f t="shared" si="4"/>
        <v>#REF!</v>
      </c>
      <c r="Y65" s="13" t="e">
        <f t="shared" si="5"/>
        <v>#REF!</v>
      </c>
      <c r="Z65" s="13" t="e">
        <f t="shared" si="6"/>
        <v>#REF!</v>
      </c>
      <c r="AA65" s="13" t="e">
        <f t="shared" si="7"/>
        <v>#REF!</v>
      </c>
    </row>
    <row r="66" spans="2:27" x14ac:dyDescent="0.2">
      <c r="B66" s="9">
        <v>34</v>
      </c>
      <c r="C66" s="9" t="s">
        <v>46</v>
      </c>
      <c r="D66" s="10" t="s">
        <v>13</v>
      </c>
      <c r="E66" s="20" t="s">
        <v>18</v>
      </c>
      <c r="F66" s="10" t="str">
        <f t="shared" si="1"/>
        <v>34FPECONOMY</v>
      </c>
      <c r="G66" s="13">
        <v>25.706999999999997</v>
      </c>
      <c r="H66" s="13">
        <v>23.872249999999998</v>
      </c>
      <c r="I66" s="13">
        <v>22.6525</v>
      </c>
      <c r="J66" s="13">
        <v>22.037499999999998</v>
      </c>
      <c r="K66" s="13">
        <v>21.432749999999999</v>
      </c>
      <c r="M66" s="13">
        <f t="shared" si="2"/>
        <v>10.81</v>
      </c>
      <c r="O66" s="13" t="e">
        <f>#REF!</f>
        <v>#REF!</v>
      </c>
      <c r="P66" s="13" t="e">
        <f>#REF!</f>
        <v>#REF!</v>
      </c>
      <c r="Q66" s="13" t="e">
        <f>#REF!</f>
        <v>#REF!</v>
      </c>
      <c r="R66" s="13" t="e">
        <f>#REF!</f>
        <v>#REF!</v>
      </c>
      <c r="S66" s="13" t="e">
        <f>#REF!</f>
        <v>#REF!</v>
      </c>
      <c r="U66" s="13" t="e">
        <f>#REF!</f>
        <v>#REF!</v>
      </c>
      <c r="W66" s="13" t="e">
        <f t="shared" si="3"/>
        <v>#REF!</v>
      </c>
      <c r="X66" s="13" t="e">
        <f t="shared" si="4"/>
        <v>#REF!</v>
      </c>
      <c r="Y66" s="13" t="e">
        <f t="shared" si="5"/>
        <v>#REF!</v>
      </c>
      <c r="Z66" s="13" t="e">
        <f t="shared" si="6"/>
        <v>#REF!</v>
      </c>
      <c r="AA66" s="13" t="e">
        <f t="shared" si="7"/>
        <v>#REF!</v>
      </c>
    </row>
    <row r="67" spans="2:27" x14ac:dyDescent="0.2">
      <c r="B67" s="9">
        <v>35</v>
      </c>
      <c r="C67" s="9" t="s">
        <v>46</v>
      </c>
      <c r="D67" s="10" t="s">
        <v>13</v>
      </c>
      <c r="E67" s="20" t="s">
        <v>18</v>
      </c>
      <c r="F67" s="10" t="str">
        <f t="shared" si="1"/>
        <v>35FPECONOMY</v>
      </c>
      <c r="G67" s="13">
        <v>27.962</v>
      </c>
      <c r="H67" s="13">
        <v>26.178499999999996</v>
      </c>
      <c r="I67" s="13">
        <v>24.989499999999996</v>
      </c>
      <c r="J67" s="13">
        <v>24.395</v>
      </c>
      <c r="K67" s="13">
        <v>23.810749999999999</v>
      </c>
      <c r="M67" s="13">
        <f t="shared" si="2"/>
        <v>10.81</v>
      </c>
      <c r="O67" s="13" t="e">
        <f>#REF!</f>
        <v>#REF!</v>
      </c>
      <c r="P67" s="13" t="e">
        <f>#REF!</f>
        <v>#REF!</v>
      </c>
      <c r="Q67" s="13" t="e">
        <f>#REF!</f>
        <v>#REF!</v>
      </c>
      <c r="R67" s="13" t="e">
        <f>#REF!</f>
        <v>#REF!</v>
      </c>
      <c r="S67" s="13" t="e">
        <f>#REF!</f>
        <v>#REF!</v>
      </c>
      <c r="U67" s="13" t="e">
        <f>#REF!</f>
        <v>#REF!</v>
      </c>
      <c r="W67" s="13" t="e">
        <f t="shared" si="3"/>
        <v>#REF!</v>
      </c>
      <c r="X67" s="13" t="e">
        <f t="shared" si="4"/>
        <v>#REF!</v>
      </c>
      <c r="Y67" s="13" t="e">
        <f t="shared" si="5"/>
        <v>#REF!</v>
      </c>
      <c r="Z67" s="13" t="e">
        <f t="shared" si="6"/>
        <v>#REF!</v>
      </c>
      <c r="AA67" s="13" t="e">
        <f t="shared" si="7"/>
        <v>#REF!</v>
      </c>
    </row>
    <row r="68" spans="2:27" x14ac:dyDescent="0.2">
      <c r="B68" s="9">
        <v>41</v>
      </c>
      <c r="C68" s="9" t="s">
        <v>38</v>
      </c>
      <c r="D68" s="10" t="s">
        <v>13</v>
      </c>
      <c r="E68" s="20" t="s">
        <v>18</v>
      </c>
      <c r="F68" s="10" t="str">
        <f t="shared" si="1"/>
        <v>41FPECONOMY</v>
      </c>
      <c r="G68" s="14">
        <v>17.149999999999999</v>
      </c>
      <c r="H68" s="14">
        <v>15.55</v>
      </c>
      <c r="I68" s="14">
        <v>14.5</v>
      </c>
      <c r="J68" s="14">
        <v>13.8</v>
      </c>
      <c r="K68" s="14">
        <v>13.45</v>
      </c>
      <c r="M68" s="14">
        <f t="shared" si="2"/>
        <v>9.76</v>
      </c>
      <c r="O68" s="14" t="e">
        <f>#REF!</f>
        <v>#REF!</v>
      </c>
      <c r="P68" s="14" t="e">
        <f>#REF!</f>
        <v>#REF!</v>
      </c>
      <c r="Q68" s="14" t="e">
        <f>#REF!</f>
        <v>#REF!</v>
      </c>
      <c r="R68" s="14" t="e">
        <f>#REF!</f>
        <v>#REF!</v>
      </c>
      <c r="S68" s="14" t="e">
        <f>#REF!</f>
        <v>#REF!</v>
      </c>
      <c r="U68" s="14" t="e">
        <f>#REF!</f>
        <v>#REF!</v>
      </c>
      <c r="W68" s="14" t="e">
        <f t="shared" si="3"/>
        <v>#REF!</v>
      </c>
      <c r="X68" s="14" t="e">
        <f t="shared" si="4"/>
        <v>#REF!</v>
      </c>
      <c r="Y68" s="14" t="e">
        <f t="shared" si="5"/>
        <v>#REF!</v>
      </c>
      <c r="Z68" s="14" t="e">
        <f t="shared" si="6"/>
        <v>#REF!</v>
      </c>
      <c r="AA68" s="14" t="e">
        <f t="shared" si="7"/>
        <v>#REF!</v>
      </c>
    </row>
    <row r="69" spans="2:27" x14ac:dyDescent="0.2">
      <c r="B69" s="9">
        <v>42</v>
      </c>
      <c r="C69" s="9" t="s">
        <v>38</v>
      </c>
      <c r="D69" s="10" t="s">
        <v>13</v>
      </c>
      <c r="E69" s="20" t="s">
        <v>18</v>
      </c>
      <c r="F69" s="10" t="str">
        <f t="shared" si="1"/>
        <v>42FPECONOMY</v>
      </c>
      <c r="G69" s="14">
        <v>19.45</v>
      </c>
      <c r="H69" s="14">
        <v>17.75</v>
      </c>
      <c r="I69" s="14">
        <v>16.7</v>
      </c>
      <c r="J69" s="14">
        <v>16</v>
      </c>
      <c r="K69" s="14">
        <v>15.65</v>
      </c>
      <c r="M69" s="14">
        <f t="shared" si="2"/>
        <v>9.76</v>
      </c>
      <c r="O69" s="14" t="e">
        <f>#REF!</f>
        <v>#REF!</v>
      </c>
      <c r="P69" s="14" t="e">
        <f>#REF!</f>
        <v>#REF!</v>
      </c>
      <c r="Q69" s="14" t="e">
        <f>#REF!</f>
        <v>#REF!</v>
      </c>
      <c r="R69" s="14" t="e">
        <f>#REF!</f>
        <v>#REF!</v>
      </c>
      <c r="S69" s="14" t="e">
        <f>#REF!</f>
        <v>#REF!</v>
      </c>
      <c r="U69" s="14" t="e">
        <f>#REF!</f>
        <v>#REF!</v>
      </c>
      <c r="W69" s="14" t="e">
        <f t="shared" si="3"/>
        <v>#REF!</v>
      </c>
      <c r="X69" s="14" t="e">
        <f t="shared" si="4"/>
        <v>#REF!</v>
      </c>
      <c r="Y69" s="14" t="e">
        <f t="shared" si="5"/>
        <v>#REF!</v>
      </c>
      <c r="Z69" s="14" t="e">
        <f t="shared" si="6"/>
        <v>#REF!</v>
      </c>
      <c r="AA69" s="14" t="e">
        <f t="shared" si="7"/>
        <v>#REF!</v>
      </c>
    </row>
    <row r="70" spans="2:27" x14ac:dyDescent="0.2">
      <c r="B70" s="9">
        <v>43</v>
      </c>
      <c r="C70" s="9" t="s">
        <v>38</v>
      </c>
      <c r="D70" s="10" t="s">
        <v>13</v>
      </c>
      <c r="E70" s="20" t="s">
        <v>18</v>
      </c>
      <c r="F70" s="10" t="str">
        <f t="shared" si="1"/>
        <v>43FPECONOMY</v>
      </c>
      <c r="G70" s="14">
        <v>22.15</v>
      </c>
      <c r="H70" s="14">
        <v>20.55</v>
      </c>
      <c r="I70" s="14">
        <v>19.5</v>
      </c>
      <c r="J70" s="14">
        <v>18.8</v>
      </c>
      <c r="K70" s="14">
        <v>18.45</v>
      </c>
      <c r="M70" s="14">
        <f t="shared" ref="M70:M133" si="21">VLOOKUP(C70,$AG$5:$AL$9,6,FALSE)</f>
        <v>9.76</v>
      </c>
      <c r="O70" s="14" t="e">
        <f>#REF!</f>
        <v>#REF!</v>
      </c>
      <c r="P70" s="14" t="e">
        <f>#REF!</f>
        <v>#REF!</v>
      </c>
      <c r="Q70" s="14" t="e">
        <f>#REF!</f>
        <v>#REF!</v>
      </c>
      <c r="R70" s="14" t="e">
        <f>#REF!</f>
        <v>#REF!</v>
      </c>
      <c r="S70" s="14" t="e">
        <f>#REF!</f>
        <v>#REF!</v>
      </c>
      <c r="U70" s="14" t="e">
        <f>#REF!</f>
        <v>#REF!</v>
      </c>
      <c r="W70" s="14" t="e">
        <f t="shared" si="3"/>
        <v>#REF!</v>
      </c>
      <c r="X70" s="14" t="e">
        <f t="shared" si="4"/>
        <v>#REF!</v>
      </c>
      <c r="Y70" s="14" t="e">
        <f t="shared" si="5"/>
        <v>#REF!</v>
      </c>
      <c r="Z70" s="14" t="e">
        <f t="shared" si="6"/>
        <v>#REF!</v>
      </c>
      <c r="AA70" s="14" t="e">
        <f t="shared" si="7"/>
        <v>#REF!</v>
      </c>
    </row>
    <row r="71" spans="2:27" x14ac:dyDescent="0.2">
      <c r="B71" s="9">
        <v>44</v>
      </c>
      <c r="C71" s="9" t="s">
        <v>38</v>
      </c>
      <c r="D71" s="10" t="s">
        <v>13</v>
      </c>
      <c r="E71" s="20" t="s">
        <v>18</v>
      </c>
      <c r="F71" s="10" t="str">
        <f t="shared" si="1"/>
        <v>44FPECONOMY</v>
      </c>
      <c r="G71" s="14">
        <v>124.15</v>
      </c>
      <c r="H71" s="14">
        <v>121.09</v>
      </c>
      <c r="I71" s="14">
        <v>118.54</v>
      </c>
      <c r="J71" s="14">
        <v>113.44</v>
      </c>
      <c r="K71" s="14">
        <v>109.36</v>
      </c>
      <c r="M71" s="14">
        <f t="shared" si="21"/>
        <v>9.76</v>
      </c>
      <c r="O71" s="14" t="e">
        <f>#REF!</f>
        <v>#REF!</v>
      </c>
      <c r="P71" s="14" t="e">
        <f>#REF!</f>
        <v>#REF!</v>
      </c>
      <c r="Q71" s="14" t="e">
        <f>#REF!</f>
        <v>#REF!</v>
      </c>
      <c r="R71" s="14" t="e">
        <f>#REF!</f>
        <v>#REF!</v>
      </c>
      <c r="S71" s="14" t="e">
        <f>#REF!</f>
        <v>#REF!</v>
      </c>
      <c r="U71" s="14" t="e">
        <f>#REF!</f>
        <v>#REF!</v>
      </c>
      <c r="W71" s="14" t="e">
        <f t="shared" si="3"/>
        <v>#REF!</v>
      </c>
      <c r="X71" s="14" t="e">
        <f t="shared" si="4"/>
        <v>#REF!</v>
      </c>
      <c r="Y71" s="14" t="e">
        <f t="shared" si="5"/>
        <v>#REF!</v>
      </c>
      <c r="Z71" s="14" t="e">
        <f t="shared" si="6"/>
        <v>#REF!</v>
      </c>
      <c r="AA71" s="14" t="e">
        <f t="shared" si="7"/>
        <v>#REF!</v>
      </c>
    </row>
    <row r="72" spans="2:27" x14ac:dyDescent="0.2">
      <c r="B72" s="9">
        <v>45</v>
      </c>
      <c r="C72" s="9" t="s">
        <v>38</v>
      </c>
      <c r="D72" s="10" t="s">
        <v>13</v>
      </c>
      <c r="E72" s="20" t="s">
        <v>18</v>
      </c>
      <c r="F72" s="10" t="str">
        <f t="shared" si="1"/>
        <v>45FPECONOMY</v>
      </c>
      <c r="G72" s="14">
        <v>130.27000000000001</v>
      </c>
      <c r="H72" s="14">
        <v>127.72</v>
      </c>
      <c r="I72" s="14">
        <v>125.17</v>
      </c>
      <c r="J72" s="14">
        <v>115.48</v>
      </c>
      <c r="K72" s="14">
        <v>112.42</v>
      </c>
      <c r="M72" s="14">
        <f t="shared" si="21"/>
        <v>9.76</v>
      </c>
      <c r="O72" s="14" t="e">
        <f>#REF!</f>
        <v>#REF!</v>
      </c>
      <c r="P72" s="14" t="e">
        <f>#REF!</f>
        <v>#REF!</v>
      </c>
      <c r="Q72" s="14" t="e">
        <f>#REF!</f>
        <v>#REF!</v>
      </c>
      <c r="R72" s="14" t="e">
        <f>#REF!</f>
        <v>#REF!</v>
      </c>
      <c r="S72" s="14" t="e">
        <f>#REF!</f>
        <v>#REF!</v>
      </c>
      <c r="U72" s="14" t="e">
        <f>#REF!</f>
        <v>#REF!</v>
      </c>
      <c r="W72" s="14" t="e">
        <f t="shared" si="3"/>
        <v>#REF!</v>
      </c>
      <c r="X72" s="14" t="e">
        <f t="shared" si="4"/>
        <v>#REF!</v>
      </c>
      <c r="Y72" s="14" t="e">
        <f t="shared" si="5"/>
        <v>#REF!</v>
      </c>
      <c r="Z72" s="14" t="e">
        <f t="shared" si="6"/>
        <v>#REF!</v>
      </c>
      <c r="AA72" s="14" t="e">
        <f t="shared" si="7"/>
        <v>#REF!</v>
      </c>
    </row>
    <row r="73" spans="2:27" x14ac:dyDescent="0.2">
      <c r="B73" s="9">
        <v>51</v>
      </c>
      <c r="C73" s="9" t="s">
        <v>39</v>
      </c>
      <c r="D73" s="10" t="s">
        <v>13</v>
      </c>
      <c r="E73" s="20" t="s">
        <v>18</v>
      </c>
      <c r="F73" s="10" t="str">
        <f t="shared" si="1"/>
        <v>51FPECONOMY</v>
      </c>
      <c r="G73" s="18">
        <v>17.149999999999999</v>
      </c>
      <c r="H73" s="18">
        <v>15.55</v>
      </c>
      <c r="I73" s="18">
        <v>14.5</v>
      </c>
      <c r="J73" s="18">
        <v>13.8</v>
      </c>
      <c r="K73" s="18">
        <v>13.45</v>
      </c>
      <c r="M73" s="18">
        <f t="shared" si="21"/>
        <v>9.76</v>
      </c>
      <c r="O73" s="18" t="e">
        <f>#REF!</f>
        <v>#REF!</v>
      </c>
      <c r="P73" s="18" t="e">
        <f>#REF!</f>
        <v>#REF!</v>
      </c>
      <c r="Q73" s="18" t="e">
        <f>#REF!</f>
        <v>#REF!</v>
      </c>
      <c r="R73" s="18" t="e">
        <f>#REF!</f>
        <v>#REF!</v>
      </c>
      <c r="S73" s="18" t="e">
        <f>#REF!</f>
        <v>#REF!</v>
      </c>
      <c r="U73" s="18" t="e">
        <f>#REF!</f>
        <v>#REF!</v>
      </c>
      <c r="W73" s="18" t="e">
        <f t="shared" si="3"/>
        <v>#REF!</v>
      </c>
      <c r="X73" s="18" t="e">
        <f t="shared" si="4"/>
        <v>#REF!</v>
      </c>
      <c r="Y73" s="18" t="e">
        <f t="shared" si="5"/>
        <v>#REF!</v>
      </c>
      <c r="Z73" s="18" t="e">
        <f t="shared" si="6"/>
        <v>#REF!</v>
      </c>
      <c r="AA73" s="18" t="e">
        <f t="shared" si="7"/>
        <v>#REF!</v>
      </c>
    </row>
    <row r="74" spans="2:27" x14ac:dyDescent="0.2">
      <c r="B74" s="9">
        <v>52</v>
      </c>
      <c r="C74" s="9" t="s">
        <v>39</v>
      </c>
      <c r="D74" s="10" t="s">
        <v>13</v>
      </c>
      <c r="E74" s="20" t="s">
        <v>18</v>
      </c>
      <c r="F74" s="10" t="str">
        <f t="shared" si="1"/>
        <v>52FPECONOMY</v>
      </c>
      <c r="G74" s="18">
        <v>19.45</v>
      </c>
      <c r="H74" s="18">
        <v>17.75</v>
      </c>
      <c r="I74" s="18">
        <v>16.7</v>
      </c>
      <c r="J74" s="18">
        <v>16</v>
      </c>
      <c r="K74" s="18">
        <v>15.65</v>
      </c>
      <c r="M74" s="18">
        <f t="shared" si="21"/>
        <v>9.76</v>
      </c>
      <c r="O74" s="18" t="e">
        <f>#REF!</f>
        <v>#REF!</v>
      </c>
      <c r="P74" s="18" t="e">
        <f>#REF!</f>
        <v>#REF!</v>
      </c>
      <c r="Q74" s="18" t="e">
        <f>#REF!</f>
        <v>#REF!</v>
      </c>
      <c r="R74" s="18" t="e">
        <f>#REF!</f>
        <v>#REF!</v>
      </c>
      <c r="S74" s="18" t="e">
        <f>#REF!</f>
        <v>#REF!</v>
      </c>
      <c r="U74" s="18" t="e">
        <f>#REF!</f>
        <v>#REF!</v>
      </c>
      <c r="W74" s="18" t="e">
        <f t="shared" ref="W74:W141" si="22">G74+$M74+O74+$U74</f>
        <v>#REF!</v>
      </c>
      <c r="X74" s="18" t="e">
        <f t="shared" ref="X74:X141" si="23">H74+$M74+P74+$U74</f>
        <v>#REF!</v>
      </c>
      <c r="Y74" s="18" t="e">
        <f t="shared" ref="Y74:Y141" si="24">I74+$M74+Q74+$U74</f>
        <v>#REF!</v>
      </c>
      <c r="Z74" s="18" t="e">
        <f t="shared" ref="Z74:Z141" si="25">J74+$M74+R74+$U74</f>
        <v>#REF!</v>
      </c>
      <c r="AA74" s="18" t="e">
        <f t="shared" ref="AA74:AA141" si="26">K74+$M74+S74+$U74</f>
        <v>#REF!</v>
      </c>
    </row>
    <row r="75" spans="2:27" x14ac:dyDescent="0.2">
      <c r="B75" s="9">
        <v>53</v>
      </c>
      <c r="C75" s="9" t="s">
        <v>39</v>
      </c>
      <c r="D75" s="10" t="s">
        <v>13</v>
      </c>
      <c r="E75" s="20" t="s">
        <v>18</v>
      </c>
      <c r="F75" s="10" t="str">
        <f t="shared" si="1"/>
        <v>53FPECONOMY</v>
      </c>
      <c r="G75" s="18">
        <v>22.15</v>
      </c>
      <c r="H75" s="18">
        <v>20.55</v>
      </c>
      <c r="I75" s="18">
        <v>19.5</v>
      </c>
      <c r="J75" s="18">
        <v>18.8</v>
      </c>
      <c r="K75" s="18">
        <v>18.45</v>
      </c>
      <c r="M75" s="18">
        <f t="shared" si="21"/>
        <v>9.76</v>
      </c>
      <c r="O75" s="18" t="e">
        <f>#REF!</f>
        <v>#REF!</v>
      </c>
      <c r="P75" s="18" t="e">
        <f>#REF!</f>
        <v>#REF!</v>
      </c>
      <c r="Q75" s="18" t="e">
        <f>#REF!</f>
        <v>#REF!</v>
      </c>
      <c r="R75" s="18" t="e">
        <f>#REF!</f>
        <v>#REF!</v>
      </c>
      <c r="S75" s="18" t="e">
        <f>#REF!</f>
        <v>#REF!</v>
      </c>
      <c r="U75" s="18" t="e">
        <f>#REF!</f>
        <v>#REF!</v>
      </c>
      <c r="W75" s="18" t="e">
        <f t="shared" si="22"/>
        <v>#REF!</v>
      </c>
      <c r="X75" s="18" t="e">
        <f t="shared" si="23"/>
        <v>#REF!</v>
      </c>
      <c r="Y75" s="18" t="e">
        <f t="shared" si="24"/>
        <v>#REF!</v>
      </c>
      <c r="Z75" s="18" t="e">
        <f t="shared" si="25"/>
        <v>#REF!</v>
      </c>
      <c r="AA75" s="18" t="e">
        <f t="shared" si="26"/>
        <v>#REF!</v>
      </c>
    </row>
    <row r="76" spans="2:27" x14ac:dyDescent="0.2">
      <c r="B76" s="9">
        <v>54</v>
      </c>
      <c r="C76" s="9" t="s">
        <v>39</v>
      </c>
      <c r="D76" s="10" t="s">
        <v>13</v>
      </c>
      <c r="E76" s="20" t="s">
        <v>18</v>
      </c>
      <c r="F76" s="10" t="str">
        <f t="shared" si="1"/>
        <v>54FPECONOMY</v>
      </c>
      <c r="G76" s="18">
        <v>24.85</v>
      </c>
      <c r="H76" s="18">
        <v>23.35</v>
      </c>
      <c r="I76" s="18">
        <v>22.3</v>
      </c>
      <c r="J76" s="18">
        <v>21.6</v>
      </c>
      <c r="K76" s="18">
        <v>21.25</v>
      </c>
      <c r="M76" s="18">
        <f t="shared" si="21"/>
        <v>9.76</v>
      </c>
      <c r="O76" s="18" t="e">
        <f>#REF!</f>
        <v>#REF!</v>
      </c>
      <c r="P76" s="18" t="e">
        <f>#REF!</f>
        <v>#REF!</v>
      </c>
      <c r="Q76" s="18" t="e">
        <f>#REF!</f>
        <v>#REF!</v>
      </c>
      <c r="R76" s="18" t="e">
        <f>#REF!</f>
        <v>#REF!</v>
      </c>
      <c r="S76" s="18" t="e">
        <f>#REF!</f>
        <v>#REF!</v>
      </c>
      <c r="U76" s="18" t="e">
        <f>#REF!</f>
        <v>#REF!</v>
      </c>
      <c r="W76" s="18" t="e">
        <f t="shared" si="22"/>
        <v>#REF!</v>
      </c>
      <c r="X76" s="18" t="e">
        <f t="shared" si="23"/>
        <v>#REF!</v>
      </c>
      <c r="Y76" s="18" t="e">
        <f t="shared" si="24"/>
        <v>#REF!</v>
      </c>
      <c r="Z76" s="18" t="e">
        <f t="shared" si="25"/>
        <v>#REF!</v>
      </c>
      <c r="AA76" s="18" t="e">
        <f t="shared" si="26"/>
        <v>#REF!</v>
      </c>
    </row>
    <row r="77" spans="2:27" x14ac:dyDescent="0.2">
      <c r="B77" s="9">
        <v>1</v>
      </c>
      <c r="C77" s="9" t="s">
        <v>36</v>
      </c>
      <c r="D77" s="10" t="s">
        <v>89</v>
      </c>
      <c r="E77" s="19" t="s">
        <v>12</v>
      </c>
      <c r="F77" s="10" t="str">
        <f t="shared" si="1"/>
        <v>1EPPREMIUM</v>
      </c>
      <c r="G77" s="11">
        <v>24.286099999999998</v>
      </c>
      <c r="H77" s="11">
        <v>22.5137</v>
      </c>
      <c r="I77" s="11">
        <v>20.720199999999998</v>
      </c>
      <c r="J77" s="11">
        <v>20.139949999999999</v>
      </c>
      <c r="K77" s="11">
        <v>19.538599999999999</v>
      </c>
      <c r="M77" s="11">
        <f t="shared" si="21"/>
        <v>11.61</v>
      </c>
      <c r="O77" s="11" t="e">
        <f>#REF!</f>
        <v>#REF!</v>
      </c>
      <c r="P77" s="11" t="e">
        <f>#REF!</f>
        <v>#REF!</v>
      </c>
      <c r="Q77" s="11" t="e">
        <f>#REF!</f>
        <v>#REF!</v>
      </c>
      <c r="R77" s="11" t="e">
        <f>#REF!</f>
        <v>#REF!</v>
      </c>
      <c r="S77" s="11" t="e">
        <f>#REF!</f>
        <v>#REF!</v>
      </c>
      <c r="U77" s="11" t="e">
        <f>#REF!</f>
        <v>#REF!</v>
      </c>
      <c r="W77" s="11" t="e">
        <f t="shared" si="22"/>
        <v>#REF!</v>
      </c>
      <c r="X77" s="11" t="e">
        <f t="shared" si="23"/>
        <v>#REF!</v>
      </c>
      <c r="Y77" s="11" t="e">
        <f t="shared" si="24"/>
        <v>#REF!</v>
      </c>
      <c r="Z77" s="11" t="e">
        <f t="shared" si="25"/>
        <v>#REF!</v>
      </c>
      <c r="AA77" s="11" t="e">
        <f t="shared" si="26"/>
        <v>#REF!</v>
      </c>
    </row>
    <row r="78" spans="2:27" x14ac:dyDescent="0.2">
      <c r="B78" s="9">
        <v>2</v>
      </c>
      <c r="C78" s="9" t="s">
        <v>36</v>
      </c>
      <c r="D78" s="10" t="s">
        <v>89</v>
      </c>
      <c r="E78" s="19" t="s">
        <v>12</v>
      </c>
      <c r="F78" s="10" t="str">
        <f t="shared" si="1"/>
        <v>2EPPREMIUM</v>
      </c>
      <c r="G78" s="11">
        <v>27.851999999999997</v>
      </c>
      <c r="H78" s="11">
        <v>26.079599999999996</v>
      </c>
      <c r="I78" s="11">
        <v>23.104499999999998</v>
      </c>
      <c r="J78" s="11">
        <v>22.5137</v>
      </c>
      <c r="K78" s="11">
        <v>21.91235</v>
      </c>
      <c r="M78" s="11">
        <f t="shared" si="21"/>
        <v>11.61</v>
      </c>
      <c r="O78" s="11" t="e">
        <f>#REF!</f>
        <v>#REF!</v>
      </c>
      <c r="P78" s="11" t="e">
        <f>#REF!</f>
        <v>#REF!</v>
      </c>
      <c r="Q78" s="11" t="e">
        <f>#REF!</f>
        <v>#REF!</v>
      </c>
      <c r="R78" s="11" t="e">
        <f>#REF!</f>
        <v>#REF!</v>
      </c>
      <c r="S78" s="11" t="e">
        <f>#REF!</f>
        <v>#REF!</v>
      </c>
      <c r="U78" s="11" t="e">
        <f>#REF!</f>
        <v>#REF!</v>
      </c>
      <c r="W78" s="11" t="e">
        <f t="shared" si="22"/>
        <v>#REF!</v>
      </c>
      <c r="X78" s="11" t="e">
        <f t="shared" si="23"/>
        <v>#REF!</v>
      </c>
      <c r="Y78" s="11" t="e">
        <f t="shared" si="24"/>
        <v>#REF!</v>
      </c>
      <c r="Z78" s="11" t="e">
        <f t="shared" si="25"/>
        <v>#REF!</v>
      </c>
      <c r="AA78" s="11" t="e">
        <f t="shared" si="26"/>
        <v>#REF!</v>
      </c>
    </row>
    <row r="79" spans="2:27" x14ac:dyDescent="0.2">
      <c r="B79" s="9">
        <v>3</v>
      </c>
      <c r="C79" s="9" t="s">
        <v>36</v>
      </c>
      <c r="D79" s="10" t="s">
        <v>89</v>
      </c>
      <c r="E79" s="19" t="s">
        <v>12</v>
      </c>
      <c r="F79" s="10" t="str">
        <f t="shared" si="1"/>
        <v>3EPPREMIUM</v>
      </c>
      <c r="G79" s="11">
        <v>31.597249999999999</v>
      </c>
      <c r="H79" s="11">
        <v>29.824849999999998</v>
      </c>
      <c r="I79" s="11">
        <v>26.839199999999998</v>
      </c>
      <c r="J79" s="11">
        <v>26.258949999999999</v>
      </c>
      <c r="K79" s="11">
        <v>25.657599999999999</v>
      </c>
      <c r="M79" s="11">
        <f t="shared" si="21"/>
        <v>11.61</v>
      </c>
      <c r="O79" s="11" t="e">
        <f>#REF!</f>
        <v>#REF!</v>
      </c>
      <c r="P79" s="11" t="e">
        <f>#REF!</f>
        <v>#REF!</v>
      </c>
      <c r="Q79" s="11" t="e">
        <f>#REF!</f>
        <v>#REF!</v>
      </c>
      <c r="R79" s="11" t="e">
        <f>#REF!</f>
        <v>#REF!</v>
      </c>
      <c r="S79" s="11" t="e">
        <f>#REF!</f>
        <v>#REF!</v>
      </c>
      <c r="U79" s="11" t="e">
        <f>#REF!</f>
        <v>#REF!</v>
      </c>
      <c r="W79" s="11" t="e">
        <f t="shared" si="22"/>
        <v>#REF!</v>
      </c>
      <c r="X79" s="11" t="e">
        <f t="shared" si="23"/>
        <v>#REF!</v>
      </c>
      <c r="Y79" s="11" t="e">
        <f t="shared" si="24"/>
        <v>#REF!</v>
      </c>
      <c r="Z79" s="11" t="e">
        <f t="shared" si="25"/>
        <v>#REF!</v>
      </c>
      <c r="AA79" s="11" t="e">
        <f t="shared" si="26"/>
        <v>#REF!</v>
      </c>
    </row>
    <row r="80" spans="2:27" x14ac:dyDescent="0.2">
      <c r="B80" s="9">
        <v>4</v>
      </c>
      <c r="C80" s="9" t="s">
        <v>36</v>
      </c>
      <c r="D80" s="10" t="s">
        <v>89</v>
      </c>
      <c r="E80" s="19" t="s">
        <v>12</v>
      </c>
      <c r="F80" s="10" t="str">
        <f t="shared" si="1"/>
        <v>4EPPREMIUM</v>
      </c>
      <c r="G80" s="11">
        <v>38.718499999999999</v>
      </c>
      <c r="H80" s="11">
        <v>36.946100000000001</v>
      </c>
      <c r="I80" s="11">
        <v>33.380200000000002</v>
      </c>
      <c r="J80" s="11">
        <v>32.778849999999998</v>
      </c>
      <c r="K80" s="11">
        <v>32.188049999999997</v>
      </c>
      <c r="M80" s="11">
        <f t="shared" si="21"/>
        <v>11.61</v>
      </c>
      <c r="O80" s="11" t="e">
        <f>#REF!</f>
        <v>#REF!</v>
      </c>
      <c r="P80" s="11" t="e">
        <f>#REF!</f>
        <v>#REF!</v>
      </c>
      <c r="Q80" s="11" t="e">
        <f>#REF!</f>
        <v>#REF!</v>
      </c>
      <c r="R80" s="11" t="e">
        <f>#REF!</f>
        <v>#REF!</v>
      </c>
      <c r="S80" s="11" t="e">
        <f>#REF!</f>
        <v>#REF!</v>
      </c>
      <c r="U80" s="11" t="e">
        <f>#REF!</f>
        <v>#REF!</v>
      </c>
      <c r="W80" s="11" t="e">
        <f t="shared" si="22"/>
        <v>#REF!</v>
      </c>
      <c r="X80" s="11" t="e">
        <f t="shared" si="23"/>
        <v>#REF!</v>
      </c>
      <c r="Y80" s="11" t="e">
        <f t="shared" si="24"/>
        <v>#REF!</v>
      </c>
      <c r="Z80" s="11" t="e">
        <f t="shared" si="25"/>
        <v>#REF!</v>
      </c>
      <c r="AA80" s="11" t="e">
        <f t="shared" si="26"/>
        <v>#REF!</v>
      </c>
    </row>
    <row r="81" spans="2:27" x14ac:dyDescent="0.2">
      <c r="B81" s="9">
        <v>5</v>
      </c>
      <c r="C81" s="9" t="s">
        <v>36</v>
      </c>
      <c r="D81" s="10" t="s">
        <v>89</v>
      </c>
      <c r="E81" s="19" t="s">
        <v>12</v>
      </c>
      <c r="F81" s="10" t="str">
        <f t="shared" si="1"/>
        <v>5EPPREMIUM</v>
      </c>
      <c r="G81" s="11">
        <v>43.698099999999997</v>
      </c>
      <c r="H81" s="11">
        <v>41.872949999999996</v>
      </c>
      <c r="I81" s="11">
        <v>37.041049999999998</v>
      </c>
      <c r="J81" s="11">
        <v>36.439699999999995</v>
      </c>
      <c r="K81" s="11">
        <v>35.827799999999996</v>
      </c>
      <c r="M81" s="11">
        <f t="shared" si="21"/>
        <v>11.61</v>
      </c>
      <c r="O81" s="11" t="e">
        <f>#REF!</f>
        <v>#REF!</v>
      </c>
      <c r="P81" s="11" t="e">
        <f>#REF!</f>
        <v>#REF!</v>
      </c>
      <c r="Q81" s="11" t="e">
        <f>#REF!</f>
        <v>#REF!</v>
      </c>
      <c r="R81" s="11" t="e">
        <f>#REF!</f>
        <v>#REF!</v>
      </c>
      <c r="S81" s="11" t="e">
        <f>#REF!</f>
        <v>#REF!</v>
      </c>
      <c r="U81" s="11" t="e">
        <f>#REF!</f>
        <v>#REF!</v>
      </c>
      <c r="W81" s="11" t="e">
        <f t="shared" si="22"/>
        <v>#REF!</v>
      </c>
      <c r="X81" s="11" t="e">
        <f t="shared" si="23"/>
        <v>#REF!</v>
      </c>
      <c r="Y81" s="11" t="e">
        <f t="shared" si="24"/>
        <v>#REF!</v>
      </c>
      <c r="Z81" s="11" t="e">
        <f t="shared" si="25"/>
        <v>#REF!</v>
      </c>
      <c r="AA81" s="11" t="e">
        <f t="shared" si="26"/>
        <v>#REF!</v>
      </c>
    </row>
    <row r="82" spans="2:27" x14ac:dyDescent="0.2">
      <c r="B82" s="9">
        <v>6</v>
      </c>
      <c r="C82" s="9" t="s">
        <v>36</v>
      </c>
      <c r="D82" s="10" t="s">
        <v>89</v>
      </c>
      <c r="E82" s="19" t="s">
        <v>12</v>
      </c>
      <c r="F82" s="10" t="str">
        <f t="shared" si="1"/>
        <v>6EPPREMIUM</v>
      </c>
      <c r="G82" s="11">
        <v>52.771099999999997</v>
      </c>
      <c r="H82" s="11">
        <v>50.344599999999993</v>
      </c>
      <c r="I82" s="11">
        <v>47.337849999999996</v>
      </c>
      <c r="J82" s="11">
        <v>46.124599999999994</v>
      </c>
      <c r="K82" s="11">
        <v>44.911349999999999</v>
      </c>
      <c r="M82" s="11">
        <f t="shared" si="21"/>
        <v>11.61</v>
      </c>
      <c r="O82" s="11" t="e">
        <f>#REF!</f>
        <v>#REF!</v>
      </c>
      <c r="P82" s="11" t="e">
        <f>#REF!</f>
        <v>#REF!</v>
      </c>
      <c r="Q82" s="11" t="e">
        <f>#REF!</f>
        <v>#REF!</v>
      </c>
      <c r="R82" s="11" t="e">
        <f>#REF!</f>
        <v>#REF!</v>
      </c>
      <c r="S82" s="11" t="e">
        <f>#REF!</f>
        <v>#REF!</v>
      </c>
      <c r="U82" s="11" t="e">
        <f>#REF!</f>
        <v>#REF!</v>
      </c>
      <c r="W82" s="11" t="e">
        <f t="shared" si="22"/>
        <v>#REF!</v>
      </c>
      <c r="X82" s="11" t="e">
        <f t="shared" si="23"/>
        <v>#REF!</v>
      </c>
      <c r="Y82" s="11" t="e">
        <f t="shared" si="24"/>
        <v>#REF!</v>
      </c>
      <c r="Z82" s="11" t="e">
        <f t="shared" si="25"/>
        <v>#REF!</v>
      </c>
      <c r="AA82" s="11" t="e">
        <f t="shared" si="26"/>
        <v>#REF!</v>
      </c>
    </row>
    <row r="83" spans="2:27" x14ac:dyDescent="0.2">
      <c r="B83" s="9">
        <v>7</v>
      </c>
      <c r="C83" s="9" t="s">
        <v>36</v>
      </c>
      <c r="D83" s="10" t="s">
        <v>89</v>
      </c>
      <c r="E83" s="19" t="s">
        <v>12</v>
      </c>
      <c r="F83" s="10" t="str">
        <f t="shared" si="1"/>
        <v>7EPPREMIUM</v>
      </c>
      <c r="G83" s="11">
        <v>64.850849999999994</v>
      </c>
      <c r="H83" s="11">
        <v>62.477099999999993</v>
      </c>
      <c r="I83" s="11">
        <v>59.51254999999999</v>
      </c>
      <c r="J83" s="11">
        <v>58.330949999999994</v>
      </c>
      <c r="K83" s="11">
        <v>57.138799999999996</v>
      </c>
      <c r="M83" s="11">
        <f t="shared" si="21"/>
        <v>11.61</v>
      </c>
      <c r="O83" s="11" t="e">
        <f>#REF!</f>
        <v>#REF!</v>
      </c>
      <c r="P83" s="11" t="e">
        <f>#REF!</f>
        <v>#REF!</v>
      </c>
      <c r="Q83" s="11" t="e">
        <f>#REF!</f>
        <v>#REF!</v>
      </c>
      <c r="R83" s="11" t="e">
        <f>#REF!</f>
        <v>#REF!</v>
      </c>
      <c r="S83" s="11" t="e">
        <f>#REF!</f>
        <v>#REF!</v>
      </c>
      <c r="U83" s="11" t="e">
        <f>#REF!</f>
        <v>#REF!</v>
      </c>
      <c r="W83" s="11" t="e">
        <f t="shared" si="22"/>
        <v>#REF!</v>
      </c>
      <c r="X83" s="11" t="e">
        <f t="shared" si="23"/>
        <v>#REF!</v>
      </c>
      <c r="Y83" s="11" t="e">
        <f t="shared" si="24"/>
        <v>#REF!</v>
      </c>
      <c r="Z83" s="11" t="e">
        <f t="shared" si="25"/>
        <v>#REF!</v>
      </c>
      <c r="AA83" s="11" t="e">
        <f t="shared" si="26"/>
        <v>#REF!</v>
      </c>
    </row>
    <row r="84" spans="2:27" x14ac:dyDescent="0.2">
      <c r="B84" s="9">
        <v>8</v>
      </c>
      <c r="C84" s="9" t="s">
        <v>36</v>
      </c>
      <c r="D84" s="10" t="s">
        <v>89</v>
      </c>
      <c r="E84" s="19" t="s">
        <v>12</v>
      </c>
      <c r="F84" s="10" t="str">
        <f t="shared" ref="F84:F168" si="27">B84&amp;D84&amp;E84</f>
        <v>8EPPREMIUM</v>
      </c>
      <c r="G84" s="11">
        <v>100.48875</v>
      </c>
      <c r="H84" s="11">
        <v>98.062249999999992</v>
      </c>
      <c r="I84" s="11">
        <v>93.789500000000004</v>
      </c>
      <c r="J84" s="11">
        <v>92.576249999999987</v>
      </c>
      <c r="K84" s="11">
        <v>91.362999999999985</v>
      </c>
      <c r="M84" s="11">
        <f t="shared" si="21"/>
        <v>11.61</v>
      </c>
      <c r="O84" s="11" t="e">
        <f>#REF!</f>
        <v>#REF!</v>
      </c>
      <c r="P84" s="11" t="e">
        <f>#REF!</f>
        <v>#REF!</v>
      </c>
      <c r="Q84" s="11" t="e">
        <f>#REF!</f>
        <v>#REF!</v>
      </c>
      <c r="R84" s="11" t="e">
        <f>#REF!</f>
        <v>#REF!</v>
      </c>
      <c r="S84" s="11" t="e">
        <f>#REF!</f>
        <v>#REF!</v>
      </c>
      <c r="U84" s="11" t="e">
        <f>#REF!</f>
        <v>#REF!</v>
      </c>
      <c r="W84" s="11" t="e">
        <f t="shared" si="22"/>
        <v>#REF!</v>
      </c>
      <c r="X84" s="11" t="e">
        <f t="shared" si="23"/>
        <v>#REF!</v>
      </c>
      <c r="Y84" s="11" t="e">
        <f t="shared" si="24"/>
        <v>#REF!</v>
      </c>
      <c r="Z84" s="11" t="e">
        <f t="shared" si="25"/>
        <v>#REF!</v>
      </c>
      <c r="AA84" s="11" t="e">
        <f t="shared" si="26"/>
        <v>#REF!</v>
      </c>
    </row>
    <row r="85" spans="2:27" x14ac:dyDescent="0.2">
      <c r="B85" s="9">
        <v>9</v>
      </c>
      <c r="C85" s="9" t="s">
        <v>36</v>
      </c>
      <c r="D85" s="10" t="s">
        <v>89</v>
      </c>
      <c r="E85" s="19" t="s">
        <v>12</v>
      </c>
      <c r="F85" s="10" t="str">
        <f t="shared" si="27"/>
        <v>9EPPREMIUM</v>
      </c>
      <c r="G85" s="11">
        <v>142.35114999999999</v>
      </c>
      <c r="H85" s="11">
        <v>139.54485</v>
      </c>
      <c r="I85" s="11">
        <v>137.30824999999999</v>
      </c>
      <c r="J85" s="11">
        <v>134.51249999999999</v>
      </c>
      <c r="K85" s="11">
        <v>132.27589999999998</v>
      </c>
      <c r="M85" s="11">
        <f t="shared" si="21"/>
        <v>11.61</v>
      </c>
      <c r="O85" s="11" t="e">
        <f>#REF!</f>
        <v>#REF!</v>
      </c>
      <c r="P85" s="11" t="e">
        <f>#REF!</f>
        <v>#REF!</v>
      </c>
      <c r="Q85" s="11" t="e">
        <f>#REF!</f>
        <v>#REF!</v>
      </c>
      <c r="R85" s="11" t="e">
        <f>#REF!</f>
        <v>#REF!</v>
      </c>
      <c r="S85" s="11" t="e">
        <f>#REF!</f>
        <v>#REF!</v>
      </c>
      <c r="U85" s="11" t="e">
        <f>#REF!</f>
        <v>#REF!</v>
      </c>
      <c r="W85" s="11" t="e">
        <f t="shared" si="22"/>
        <v>#REF!</v>
      </c>
      <c r="X85" s="11" t="e">
        <f t="shared" si="23"/>
        <v>#REF!</v>
      </c>
      <c r="Y85" s="11" t="e">
        <f t="shared" si="24"/>
        <v>#REF!</v>
      </c>
      <c r="Z85" s="11" t="e">
        <f t="shared" si="25"/>
        <v>#REF!</v>
      </c>
      <c r="AA85" s="11" t="e">
        <f t="shared" si="26"/>
        <v>#REF!</v>
      </c>
    </row>
    <row r="86" spans="2:27" x14ac:dyDescent="0.2">
      <c r="B86" s="9">
        <v>10</v>
      </c>
      <c r="C86" s="9" t="s">
        <v>36</v>
      </c>
      <c r="D86" s="10" t="s">
        <v>89</v>
      </c>
      <c r="E86" s="19" t="s">
        <v>12</v>
      </c>
      <c r="F86" s="10" t="str">
        <f t="shared" si="27"/>
        <v>10EPPREMIUM</v>
      </c>
      <c r="G86" s="11">
        <v>154.66299999999998</v>
      </c>
      <c r="H86" s="11">
        <v>151.86724999999998</v>
      </c>
      <c r="I86" s="11">
        <v>149.63065</v>
      </c>
      <c r="J86" s="11">
        <v>146.27574999999999</v>
      </c>
      <c r="K86" s="11">
        <v>142.35114999999999</v>
      </c>
      <c r="M86" s="11">
        <f t="shared" si="21"/>
        <v>11.61</v>
      </c>
      <c r="O86" s="11" t="e">
        <f>#REF!</f>
        <v>#REF!</v>
      </c>
      <c r="P86" s="11" t="e">
        <f>#REF!</f>
        <v>#REF!</v>
      </c>
      <c r="Q86" s="11" t="e">
        <f>#REF!</f>
        <v>#REF!</v>
      </c>
      <c r="R86" s="11" t="e">
        <f>#REF!</f>
        <v>#REF!</v>
      </c>
      <c r="S86" s="11" t="e">
        <f>#REF!</f>
        <v>#REF!</v>
      </c>
      <c r="U86" s="11" t="e">
        <f>#REF!</f>
        <v>#REF!</v>
      </c>
      <c r="W86" s="11" t="e">
        <f t="shared" si="22"/>
        <v>#REF!</v>
      </c>
      <c r="X86" s="11" t="e">
        <f t="shared" si="23"/>
        <v>#REF!</v>
      </c>
      <c r="Y86" s="11" t="e">
        <f t="shared" si="24"/>
        <v>#REF!</v>
      </c>
      <c r="Z86" s="11" t="e">
        <f t="shared" si="25"/>
        <v>#REF!</v>
      </c>
      <c r="AA86" s="11" t="e">
        <f t="shared" si="26"/>
        <v>#REF!</v>
      </c>
    </row>
    <row r="87" spans="2:27" x14ac:dyDescent="0.2">
      <c r="B87" s="9">
        <v>11</v>
      </c>
      <c r="C87" s="9" t="s">
        <v>36</v>
      </c>
      <c r="D87" s="10" t="s">
        <v>89</v>
      </c>
      <c r="E87" s="19" t="s">
        <v>12</v>
      </c>
      <c r="F87" s="10" t="str">
        <f t="shared" si="27"/>
        <v>11EPPREMIUM</v>
      </c>
      <c r="G87" s="11">
        <v>155.23269999999997</v>
      </c>
      <c r="H87" s="11">
        <v>153.54469999999998</v>
      </c>
      <c r="I87" s="11">
        <v>150.18980000000002</v>
      </c>
      <c r="J87" s="11">
        <v>147.95320000000001</v>
      </c>
      <c r="K87" s="11">
        <v>142.91030000000001</v>
      </c>
      <c r="M87" s="11">
        <f t="shared" si="21"/>
        <v>11.61</v>
      </c>
      <c r="O87" s="11" t="e">
        <f>#REF!</f>
        <v>#REF!</v>
      </c>
      <c r="P87" s="11" t="e">
        <f>#REF!</f>
        <v>#REF!</v>
      </c>
      <c r="Q87" s="11" t="e">
        <f>#REF!</f>
        <v>#REF!</v>
      </c>
      <c r="R87" s="11" t="e">
        <f>#REF!</f>
        <v>#REF!</v>
      </c>
      <c r="S87" s="11" t="e">
        <f>#REF!</f>
        <v>#REF!</v>
      </c>
      <c r="U87" s="11" t="e">
        <f>#REF!</f>
        <v>#REF!</v>
      </c>
      <c r="W87" s="11" t="e">
        <f t="shared" si="22"/>
        <v>#REF!</v>
      </c>
      <c r="X87" s="11" t="e">
        <f t="shared" si="23"/>
        <v>#REF!</v>
      </c>
      <c r="Y87" s="11" t="e">
        <f t="shared" si="24"/>
        <v>#REF!</v>
      </c>
      <c r="Z87" s="11" t="e">
        <f t="shared" si="25"/>
        <v>#REF!</v>
      </c>
      <c r="AA87" s="11" t="e">
        <f t="shared" si="26"/>
        <v>#REF!</v>
      </c>
    </row>
    <row r="88" spans="2:27" x14ac:dyDescent="0.2">
      <c r="B88" s="9">
        <v>12</v>
      </c>
      <c r="C88" s="9" t="s">
        <v>36</v>
      </c>
      <c r="D88" s="10" t="s">
        <v>89</v>
      </c>
      <c r="E88" s="19" t="s">
        <v>12</v>
      </c>
      <c r="F88" s="10" t="str">
        <f t="shared" si="27"/>
        <v>12EPPREMIUM</v>
      </c>
      <c r="G88" s="11">
        <v>209.52299999999997</v>
      </c>
      <c r="H88" s="11">
        <v>207.84554999999997</v>
      </c>
      <c r="I88" s="11">
        <v>202.81319999999999</v>
      </c>
      <c r="J88" s="11">
        <v>200.56604999999999</v>
      </c>
      <c r="K88" s="11">
        <v>194.964</v>
      </c>
      <c r="M88" s="11">
        <f t="shared" si="21"/>
        <v>11.61</v>
      </c>
      <c r="O88" s="11" t="e">
        <f>#REF!</f>
        <v>#REF!</v>
      </c>
      <c r="P88" s="11" t="e">
        <f>#REF!</f>
        <v>#REF!</v>
      </c>
      <c r="Q88" s="11" t="e">
        <f>#REF!</f>
        <v>#REF!</v>
      </c>
      <c r="R88" s="11" t="e">
        <f>#REF!</f>
        <v>#REF!</v>
      </c>
      <c r="S88" s="11" t="e">
        <f>#REF!</f>
        <v>#REF!</v>
      </c>
      <c r="U88" s="11" t="e">
        <f>#REF!</f>
        <v>#REF!</v>
      </c>
      <c r="W88" s="11" t="e">
        <f t="shared" si="22"/>
        <v>#REF!</v>
      </c>
      <c r="X88" s="11" t="e">
        <f t="shared" si="23"/>
        <v>#REF!</v>
      </c>
      <c r="Y88" s="11" t="e">
        <f t="shared" si="24"/>
        <v>#REF!</v>
      </c>
      <c r="Z88" s="11" t="e">
        <f t="shared" si="25"/>
        <v>#REF!</v>
      </c>
      <c r="AA88" s="11" t="e">
        <f t="shared" si="26"/>
        <v>#REF!</v>
      </c>
    </row>
    <row r="89" spans="2:27" x14ac:dyDescent="0.2">
      <c r="B89" s="9">
        <v>13</v>
      </c>
      <c r="C89" s="9" t="s">
        <v>36</v>
      </c>
      <c r="D89" s="10" t="s">
        <v>89</v>
      </c>
      <c r="E89" s="19" t="s">
        <v>12</v>
      </c>
      <c r="F89" s="10" t="str">
        <f t="shared" ref="F89:F90" si="28">B89&amp;D89&amp;E89</f>
        <v>13EPPREMIUM</v>
      </c>
      <c r="G89" s="11">
        <v>295.39999999999998</v>
      </c>
      <c r="H89" s="11">
        <v>295.39999999999998</v>
      </c>
      <c r="I89" s="11">
        <v>295.39999999999998</v>
      </c>
      <c r="J89" s="11">
        <v>295.39999999999998</v>
      </c>
      <c r="K89" s="11">
        <v>295.39999999999998</v>
      </c>
      <c r="M89" s="11">
        <f t="shared" si="21"/>
        <v>11.61</v>
      </c>
      <c r="O89" s="11" t="e">
        <f>#REF!</f>
        <v>#REF!</v>
      </c>
      <c r="P89" s="11" t="e">
        <f>#REF!</f>
        <v>#REF!</v>
      </c>
      <c r="Q89" s="11" t="e">
        <f>#REF!</f>
        <v>#REF!</v>
      </c>
      <c r="R89" s="11" t="e">
        <f>#REF!</f>
        <v>#REF!</v>
      </c>
      <c r="S89" s="11" t="e">
        <f>#REF!</f>
        <v>#REF!</v>
      </c>
      <c r="U89" s="11" t="e">
        <f>#REF!</f>
        <v>#REF!</v>
      </c>
      <c r="W89" s="11" t="e">
        <f t="shared" ref="W89:W90" si="29">G89+$M89+O89+$U89</f>
        <v>#REF!</v>
      </c>
      <c r="X89" s="11" t="e">
        <f t="shared" ref="X89:X90" si="30">H89+$M89+P89+$U89</f>
        <v>#REF!</v>
      </c>
      <c r="Y89" s="11" t="e">
        <f t="shared" ref="Y89:Y90" si="31">I89+$M89+Q89+$U89</f>
        <v>#REF!</v>
      </c>
      <c r="Z89" s="11" t="e">
        <f t="shared" ref="Z89:Z90" si="32">J89+$M89+R89+$U89</f>
        <v>#REF!</v>
      </c>
      <c r="AA89" s="11" t="e">
        <f t="shared" ref="AA89:AA90" si="33">K89+$M89+S89+$U89</f>
        <v>#REF!</v>
      </c>
    </row>
    <row r="90" spans="2:27" x14ac:dyDescent="0.2">
      <c r="B90" s="9">
        <v>14</v>
      </c>
      <c r="C90" s="9" t="s">
        <v>36</v>
      </c>
      <c r="D90" s="10" t="s">
        <v>89</v>
      </c>
      <c r="E90" s="19" t="s">
        <v>12</v>
      </c>
      <c r="F90" s="10" t="str">
        <f t="shared" si="28"/>
        <v>14EPPREMIUM</v>
      </c>
      <c r="G90" s="11">
        <v>327.04999999999995</v>
      </c>
      <c r="H90" s="11">
        <v>327.04999999999995</v>
      </c>
      <c r="I90" s="11">
        <v>327.04999999999995</v>
      </c>
      <c r="J90" s="11">
        <v>327.04999999999995</v>
      </c>
      <c r="K90" s="11">
        <v>327.04999999999995</v>
      </c>
      <c r="M90" s="11">
        <f t="shared" si="21"/>
        <v>11.61</v>
      </c>
      <c r="O90" s="11" t="e">
        <f>#REF!</f>
        <v>#REF!</v>
      </c>
      <c r="P90" s="11" t="e">
        <f>#REF!</f>
        <v>#REF!</v>
      </c>
      <c r="Q90" s="11" t="e">
        <f>#REF!</f>
        <v>#REF!</v>
      </c>
      <c r="R90" s="11" t="e">
        <f>#REF!</f>
        <v>#REF!</v>
      </c>
      <c r="S90" s="11" t="e">
        <f>#REF!</f>
        <v>#REF!</v>
      </c>
      <c r="U90" s="11" t="e">
        <f>#REF!</f>
        <v>#REF!</v>
      </c>
      <c r="W90" s="11" t="e">
        <f t="shared" si="29"/>
        <v>#REF!</v>
      </c>
      <c r="X90" s="11" t="e">
        <f t="shared" si="30"/>
        <v>#REF!</v>
      </c>
      <c r="Y90" s="11" t="e">
        <f t="shared" si="31"/>
        <v>#REF!</v>
      </c>
      <c r="Z90" s="11" t="e">
        <f t="shared" si="32"/>
        <v>#REF!</v>
      </c>
      <c r="AA90" s="11" t="e">
        <f t="shared" si="33"/>
        <v>#REF!</v>
      </c>
    </row>
    <row r="91" spans="2:27" x14ac:dyDescent="0.2">
      <c r="B91" s="9">
        <v>21</v>
      </c>
      <c r="C91" s="9" t="s">
        <v>37</v>
      </c>
      <c r="D91" s="10" t="s">
        <v>89</v>
      </c>
      <c r="E91" s="19" t="s">
        <v>12</v>
      </c>
      <c r="F91" s="10" t="str">
        <f t="shared" si="27"/>
        <v>21EPPREMIUM</v>
      </c>
      <c r="G91" s="12">
        <v>19.200999999999997</v>
      </c>
      <c r="H91" s="12">
        <v>17.439150000000001</v>
      </c>
      <c r="I91" s="12">
        <v>16.257549999999998</v>
      </c>
      <c r="J91" s="12">
        <v>15.656199999999998</v>
      </c>
      <c r="K91" s="12">
        <v>15.075949999999999</v>
      </c>
      <c r="M91" s="12">
        <f t="shared" si="21"/>
        <v>11.51</v>
      </c>
      <c r="O91" s="12" t="e">
        <f>#REF!</f>
        <v>#REF!</v>
      </c>
      <c r="P91" s="12" t="e">
        <f>#REF!</f>
        <v>#REF!</v>
      </c>
      <c r="Q91" s="12" t="e">
        <f>#REF!</f>
        <v>#REF!</v>
      </c>
      <c r="R91" s="12" t="e">
        <f>#REF!</f>
        <v>#REF!</v>
      </c>
      <c r="S91" s="12" t="e">
        <f>#REF!</f>
        <v>#REF!</v>
      </c>
      <c r="U91" s="12" t="e">
        <f>#REF!</f>
        <v>#REF!</v>
      </c>
      <c r="W91" s="12" t="e">
        <f t="shared" si="22"/>
        <v>#REF!</v>
      </c>
      <c r="X91" s="12" t="e">
        <f t="shared" si="23"/>
        <v>#REF!</v>
      </c>
      <c r="Y91" s="12" t="e">
        <f t="shared" si="24"/>
        <v>#REF!</v>
      </c>
      <c r="Z91" s="12" t="e">
        <f t="shared" si="25"/>
        <v>#REF!</v>
      </c>
      <c r="AA91" s="12" t="e">
        <f t="shared" si="26"/>
        <v>#REF!</v>
      </c>
    </row>
    <row r="92" spans="2:27" x14ac:dyDescent="0.2">
      <c r="B92" s="9">
        <v>22</v>
      </c>
      <c r="C92" s="9" t="s">
        <v>37</v>
      </c>
      <c r="D92" s="10" t="s">
        <v>89</v>
      </c>
      <c r="E92" s="19" t="s">
        <v>12</v>
      </c>
      <c r="F92" s="10" t="str">
        <f t="shared" si="27"/>
        <v>22EPPREMIUM</v>
      </c>
      <c r="G92" s="12">
        <v>23.136149999999997</v>
      </c>
      <c r="H92" s="12">
        <v>21.933449999999997</v>
      </c>
      <c r="I92" s="12">
        <v>20.730749999999997</v>
      </c>
      <c r="J92" s="12">
        <v>19.517499999999998</v>
      </c>
      <c r="K92" s="12">
        <v>18.916149999999998</v>
      </c>
      <c r="M92" s="12">
        <f t="shared" si="21"/>
        <v>11.51</v>
      </c>
      <c r="O92" s="12" t="e">
        <f>#REF!</f>
        <v>#REF!</v>
      </c>
      <c r="P92" s="12" t="e">
        <f>#REF!</f>
        <v>#REF!</v>
      </c>
      <c r="Q92" s="12" t="e">
        <f>#REF!</f>
        <v>#REF!</v>
      </c>
      <c r="R92" s="12" t="e">
        <f>#REF!</f>
        <v>#REF!</v>
      </c>
      <c r="S92" s="12" t="e">
        <f>#REF!</f>
        <v>#REF!</v>
      </c>
      <c r="U92" s="12" t="e">
        <f>#REF!</f>
        <v>#REF!</v>
      </c>
      <c r="W92" s="12" t="e">
        <f t="shared" si="22"/>
        <v>#REF!</v>
      </c>
      <c r="X92" s="12" t="e">
        <f t="shared" si="23"/>
        <v>#REF!</v>
      </c>
      <c r="Y92" s="12" t="e">
        <f t="shared" si="24"/>
        <v>#REF!</v>
      </c>
      <c r="Z92" s="12" t="e">
        <f t="shared" si="25"/>
        <v>#REF!</v>
      </c>
      <c r="AA92" s="12" t="e">
        <f t="shared" si="26"/>
        <v>#REF!</v>
      </c>
    </row>
    <row r="93" spans="2:27" x14ac:dyDescent="0.2">
      <c r="B93" s="9">
        <v>23</v>
      </c>
      <c r="C93" s="9" t="s">
        <v>37</v>
      </c>
      <c r="D93" s="10" t="s">
        <v>89</v>
      </c>
      <c r="E93" s="19" t="s">
        <v>12</v>
      </c>
      <c r="F93" s="10" t="str">
        <f t="shared" si="27"/>
        <v>23EPPREMIUM</v>
      </c>
      <c r="G93" s="12">
        <v>27.683199999999996</v>
      </c>
      <c r="H93" s="12">
        <v>25.889699999999998</v>
      </c>
      <c r="I93" s="12">
        <v>24.69755</v>
      </c>
      <c r="J93" s="12">
        <v>24.106750000000002</v>
      </c>
      <c r="K93" s="12">
        <v>23.505399999999998</v>
      </c>
      <c r="M93" s="12">
        <f t="shared" si="21"/>
        <v>11.51</v>
      </c>
      <c r="O93" s="12" t="e">
        <f>#REF!</f>
        <v>#REF!</v>
      </c>
      <c r="P93" s="12" t="e">
        <f>#REF!</f>
        <v>#REF!</v>
      </c>
      <c r="Q93" s="12" t="e">
        <f>#REF!</f>
        <v>#REF!</v>
      </c>
      <c r="R93" s="12" t="e">
        <f>#REF!</f>
        <v>#REF!</v>
      </c>
      <c r="S93" s="12" t="e">
        <f>#REF!</f>
        <v>#REF!</v>
      </c>
      <c r="U93" s="12" t="e">
        <f>#REF!</f>
        <v>#REF!</v>
      </c>
      <c r="W93" s="12" t="e">
        <f t="shared" si="22"/>
        <v>#REF!</v>
      </c>
      <c r="X93" s="12" t="e">
        <f t="shared" si="23"/>
        <v>#REF!</v>
      </c>
      <c r="Y93" s="12" t="e">
        <f t="shared" si="24"/>
        <v>#REF!</v>
      </c>
      <c r="Z93" s="12" t="e">
        <f t="shared" si="25"/>
        <v>#REF!</v>
      </c>
      <c r="AA93" s="12" t="e">
        <f t="shared" si="26"/>
        <v>#REF!</v>
      </c>
    </row>
    <row r="94" spans="2:27" x14ac:dyDescent="0.2">
      <c r="B94" s="9">
        <v>24</v>
      </c>
      <c r="C94" s="9" t="s">
        <v>37</v>
      </c>
      <c r="D94" s="10" t="s">
        <v>89</v>
      </c>
      <c r="E94" s="19" t="s">
        <v>12</v>
      </c>
      <c r="F94" s="10" t="str">
        <f t="shared" si="27"/>
        <v>24EPPREMIUM</v>
      </c>
      <c r="G94" s="12">
        <v>30.278499999999998</v>
      </c>
      <c r="H94" s="12">
        <v>28.390049999999999</v>
      </c>
      <c r="I94" s="12">
        <v>26.5227</v>
      </c>
      <c r="J94" s="12">
        <v>25.889699999999998</v>
      </c>
      <c r="K94" s="12">
        <v>25.267249999999997</v>
      </c>
      <c r="M94" s="12">
        <f t="shared" si="21"/>
        <v>11.51</v>
      </c>
      <c r="O94" s="12" t="e">
        <f>#REF!</f>
        <v>#REF!</v>
      </c>
      <c r="P94" s="12" t="e">
        <f>#REF!</f>
        <v>#REF!</v>
      </c>
      <c r="Q94" s="12" t="e">
        <f>#REF!</f>
        <v>#REF!</v>
      </c>
      <c r="R94" s="12" t="e">
        <f>#REF!</f>
        <v>#REF!</v>
      </c>
      <c r="S94" s="12" t="e">
        <f>#REF!</f>
        <v>#REF!</v>
      </c>
      <c r="U94" s="12" t="e">
        <f>#REF!</f>
        <v>#REF!</v>
      </c>
      <c r="W94" s="12" t="e">
        <f t="shared" si="22"/>
        <v>#REF!</v>
      </c>
      <c r="X94" s="12" t="e">
        <f t="shared" si="23"/>
        <v>#REF!</v>
      </c>
      <c r="Y94" s="12" t="e">
        <f t="shared" si="24"/>
        <v>#REF!</v>
      </c>
      <c r="Z94" s="12" t="e">
        <f t="shared" si="25"/>
        <v>#REF!</v>
      </c>
      <c r="AA94" s="12" t="e">
        <f t="shared" si="26"/>
        <v>#REF!</v>
      </c>
    </row>
    <row r="95" spans="2:27" x14ac:dyDescent="0.2">
      <c r="B95" s="9">
        <v>25</v>
      </c>
      <c r="C95" s="9" t="s">
        <v>37</v>
      </c>
      <c r="D95" s="10" t="s">
        <v>89</v>
      </c>
      <c r="E95" s="19" t="s">
        <v>12</v>
      </c>
      <c r="F95" s="10" t="str">
        <f t="shared" si="27"/>
        <v>25EPPREMIUM</v>
      </c>
      <c r="G95" s="12">
        <v>33.939349999999997</v>
      </c>
      <c r="H95" s="12">
        <v>32.156399999999998</v>
      </c>
      <c r="I95" s="12">
        <v>30.974799999999998</v>
      </c>
      <c r="J95" s="12">
        <v>30.384</v>
      </c>
      <c r="K95" s="12">
        <v>29.78265</v>
      </c>
      <c r="M95" s="12">
        <f t="shared" si="21"/>
        <v>11.51</v>
      </c>
      <c r="O95" s="12" t="e">
        <f>#REF!</f>
        <v>#REF!</v>
      </c>
      <c r="P95" s="12" t="e">
        <f>#REF!</f>
        <v>#REF!</v>
      </c>
      <c r="Q95" s="12" t="e">
        <f>#REF!</f>
        <v>#REF!</v>
      </c>
      <c r="R95" s="12" t="e">
        <f>#REF!</f>
        <v>#REF!</v>
      </c>
      <c r="S95" s="12" t="e">
        <f>#REF!</f>
        <v>#REF!</v>
      </c>
      <c r="U95" s="12" t="e">
        <f>#REF!</f>
        <v>#REF!</v>
      </c>
      <c r="W95" s="12" t="e">
        <f t="shared" si="22"/>
        <v>#REF!</v>
      </c>
      <c r="X95" s="12" t="e">
        <f t="shared" si="23"/>
        <v>#REF!</v>
      </c>
      <c r="Y95" s="12" t="e">
        <f t="shared" si="24"/>
        <v>#REF!</v>
      </c>
      <c r="Z95" s="12" t="e">
        <f t="shared" si="25"/>
        <v>#REF!</v>
      </c>
      <c r="AA95" s="12" t="e">
        <f t="shared" si="26"/>
        <v>#REF!</v>
      </c>
    </row>
    <row r="96" spans="2:27" x14ac:dyDescent="0.2">
      <c r="B96" s="9">
        <v>26</v>
      </c>
      <c r="C96" s="9" t="s">
        <v>37</v>
      </c>
      <c r="D96" s="10" t="s">
        <v>89</v>
      </c>
      <c r="E96" s="19" t="s">
        <v>12</v>
      </c>
      <c r="F96" s="10" t="str">
        <f t="shared" si="27"/>
        <v>26EPPREMIUM</v>
      </c>
      <c r="G96" s="12">
        <v>37.241499999999995</v>
      </c>
      <c r="H96" s="12">
        <v>35.458549999999995</v>
      </c>
      <c r="I96" s="12">
        <v>34.287500000000001</v>
      </c>
      <c r="J96" s="12">
        <v>33.6967</v>
      </c>
      <c r="K96" s="12">
        <v>33.095349999999996</v>
      </c>
      <c r="M96" s="12">
        <f t="shared" si="21"/>
        <v>11.51</v>
      </c>
      <c r="O96" s="12" t="e">
        <f>#REF!</f>
        <v>#REF!</v>
      </c>
      <c r="P96" s="12" t="e">
        <f>#REF!</f>
        <v>#REF!</v>
      </c>
      <c r="Q96" s="12" t="e">
        <f>#REF!</f>
        <v>#REF!</v>
      </c>
      <c r="R96" s="12" t="e">
        <f>#REF!</f>
        <v>#REF!</v>
      </c>
      <c r="S96" s="12" t="e">
        <f>#REF!</f>
        <v>#REF!</v>
      </c>
      <c r="U96" s="12" t="e">
        <f>#REF!</f>
        <v>#REF!</v>
      </c>
      <c r="W96" s="12" t="e">
        <f t="shared" si="22"/>
        <v>#REF!</v>
      </c>
      <c r="X96" s="12" t="e">
        <f t="shared" si="23"/>
        <v>#REF!</v>
      </c>
      <c r="Y96" s="12" t="e">
        <f t="shared" si="24"/>
        <v>#REF!</v>
      </c>
      <c r="Z96" s="12" t="e">
        <f t="shared" si="25"/>
        <v>#REF!</v>
      </c>
      <c r="AA96" s="12" t="e">
        <f t="shared" si="26"/>
        <v>#REF!</v>
      </c>
    </row>
    <row r="97" spans="2:27" x14ac:dyDescent="0.2">
      <c r="B97" s="9">
        <v>27</v>
      </c>
      <c r="C97" s="9" t="s">
        <v>37</v>
      </c>
      <c r="D97" s="10" t="s">
        <v>89</v>
      </c>
      <c r="E97" s="19" t="s">
        <v>12</v>
      </c>
      <c r="F97" s="10" t="str">
        <f t="shared" si="27"/>
        <v>27EPPREMIUM</v>
      </c>
      <c r="G97" s="12">
        <v>135.97894999999997</v>
      </c>
      <c r="H97" s="12">
        <v>133.74234999999999</v>
      </c>
      <c r="I97" s="12">
        <v>130.93604999999999</v>
      </c>
      <c r="J97" s="12">
        <v>128.69944999999998</v>
      </c>
      <c r="K97" s="12">
        <v>125.89314999999999</v>
      </c>
      <c r="M97" s="12">
        <f t="shared" si="21"/>
        <v>11.51</v>
      </c>
      <c r="O97" s="12" t="e">
        <f>#REF!</f>
        <v>#REF!</v>
      </c>
      <c r="P97" s="12" t="e">
        <f>#REF!</f>
        <v>#REF!</v>
      </c>
      <c r="Q97" s="12" t="e">
        <f>#REF!</f>
        <v>#REF!</v>
      </c>
      <c r="R97" s="12" t="e">
        <f>#REF!</f>
        <v>#REF!</v>
      </c>
      <c r="S97" s="12" t="e">
        <f>#REF!</f>
        <v>#REF!</v>
      </c>
      <c r="U97" s="12" t="e">
        <f>#REF!</f>
        <v>#REF!</v>
      </c>
      <c r="W97" s="12" t="e">
        <f t="shared" si="22"/>
        <v>#REF!</v>
      </c>
      <c r="X97" s="12" t="e">
        <f t="shared" si="23"/>
        <v>#REF!</v>
      </c>
      <c r="Y97" s="12" t="e">
        <f t="shared" si="24"/>
        <v>#REF!</v>
      </c>
      <c r="Z97" s="12" t="e">
        <f t="shared" si="25"/>
        <v>#REF!</v>
      </c>
      <c r="AA97" s="12" t="e">
        <f t="shared" si="26"/>
        <v>#REF!</v>
      </c>
    </row>
    <row r="98" spans="2:27" x14ac:dyDescent="0.2">
      <c r="B98" s="9">
        <v>28</v>
      </c>
      <c r="C98" s="9" t="s">
        <v>37</v>
      </c>
      <c r="D98" s="10" t="s">
        <v>89</v>
      </c>
      <c r="E98" s="19" t="s">
        <v>12</v>
      </c>
      <c r="F98" s="10" t="str">
        <f t="shared" si="27"/>
        <v>28EPPREMIUM</v>
      </c>
      <c r="G98" s="12">
        <v>143.24789999999999</v>
      </c>
      <c r="H98" s="12">
        <v>140.45214999999999</v>
      </c>
      <c r="I98" s="12">
        <v>138.21554999999998</v>
      </c>
      <c r="J98" s="12">
        <v>134.86064999999999</v>
      </c>
      <c r="K98" s="12">
        <v>132.61349999999999</v>
      </c>
      <c r="M98" s="12">
        <f t="shared" si="21"/>
        <v>11.51</v>
      </c>
      <c r="O98" s="12" t="e">
        <f>#REF!</f>
        <v>#REF!</v>
      </c>
      <c r="P98" s="12" t="e">
        <f>#REF!</f>
        <v>#REF!</v>
      </c>
      <c r="Q98" s="12" t="e">
        <f>#REF!</f>
        <v>#REF!</v>
      </c>
      <c r="R98" s="12" t="e">
        <f>#REF!</f>
        <v>#REF!</v>
      </c>
      <c r="S98" s="12" t="e">
        <f>#REF!</f>
        <v>#REF!</v>
      </c>
      <c r="U98" s="12" t="e">
        <f>#REF!</f>
        <v>#REF!</v>
      </c>
      <c r="W98" s="12" t="e">
        <f t="shared" si="22"/>
        <v>#REF!</v>
      </c>
      <c r="X98" s="12" t="e">
        <f t="shared" si="23"/>
        <v>#REF!</v>
      </c>
      <c r="Y98" s="12" t="e">
        <f t="shared" si="24"/>
        <v>#REF!</v>
      </c>
      <c r="Z98" s="12" t="e">
        <f t="shared" si="25"/>
        <v>#REF!</v>
      </c>
      <c r="AA98" s="12" t="e">
        <f t="shared" si="26"/>
        <v>#REF!</v>
      </c>
    </row>
    <row r="99" spans="2:27" x14ac:dyDescent="0.2">
      <c r="B99" s="9">
        <v>31</v>
      </c>
      <c r="C99" s="9" t="s">
        <v>46</v>
      </c>
      <c r="D99" s="10" t="s">
        <v>89</v>
      </c>
      <c r="E99" s="19" t="s">
        <v>12</v>
      </c>
      <c r="F99" s="10" t="str">
        <f t="shared" si="27"/>
        <v>31EPPREMIUM</v>
      </c>
      <c r="G99" s="13">
        <v>17.8506</v>
      </c>
      <c r="H99" s="13">
        <v>16.06765</v>
      </c>
      <c r="I99" s="13">
        <v>14.896599999999998</v>
      </c>
      <c r="J99" s="13">
        <v>14.31635</v>
      </c>
      <c r="K99" s="13">
        <v>13.715</v>
      </c>
      <c r="M99" s="13">
        <f t="shared" si="21"/>
        <v>10.81</v>
      </c>
      <c r="O99" s="13" t="e">
        <f>#REF!</f>
        <v>#REF!</v>
      </c>
      <c r="P99" s="13" t="e">
        <f>#REF!</f>
        <v>#REF!</v>
      </c>
      <c r="Q99" s="13" t="e">
        <f>#REF!</f>
        <v>#REF!</v>
      </c>
      <c r="R99" s="13" t="e">
        <f>#REF!</f>
        <v>#REF!</v>
      </c>
      <c r="S99" s="13" t="e">
        <f>#REF!</f>
        <v>#REF!</v>
      </c>
      <c r="U99" s="13" t="e">
        <f>#REF!</f>
        <v>#REF!</v>
      </c>
      <c r="W99" s="13" t="e">
        <f t="shared" si="22"/>
        <v>#REF!</v>
      </c>
      <c r="X99" s="13" t="e">
        <f t="shared" si="23"/>
        <v>#REF!</v>
      </c>
      <c r="Y99" s="13" t="e">
        <f t="shared" si="24"/>
        <v>#REF!</v>
      </c>
      <c r="Z99" s="13" t="e">
        <f t="shared" si="25"/>
        <v>#REF!</v>
      </c>
      <c r="AA99" s="13" t="e">
        <f t="shared" si="26"/>
        <v>#REF!</v>
      </c>
    </row>
    <row r="100" spans="2:27" x14ac:dyDescent="0.2">
      <c r="B100" s="9">
        <v>32</v>
      </c>
      <c r="C100" s="9" t="s">
        <v>46</v>
      </c>
      <c r="D100" s="10" t="s">
        <v>89</v>
      </c>
      <c r="E100" s="19" t="s">
        <v>12</v>
      </c>
      <c r="F100" s="10" t="str">
        <f t="shared" si="27"/>
        <v>32EPPREMIUM</v>
      </c>
      <c r="G100" s="13">
        <v>21.943999999999999</v>
      </c>
      <c r="H100" s="13">
        <v>20.097750000000001</v>
      </c>
      <c r="I100" s="13">
        <v>18.863399999999999</v>
      </c>
      <c r="J100" s="13">
        <v>18.240949999999998</v>
      </c>
      <c r="K100" s="13">
        <v>17.639599999999998</v>
      </c>
      <c r="M100" s="13">
        <f t="shared" si="21"/>
        <v>10.81</v>
      </c>
      <c r="O100" s="13" t="e">
        <f>#REF!</f>
        <v>#REF!</v>
      </c>
      <c r="P100" s="13" t="e">
        <f>#REF!</f>
        <v>#REF!</v>
      </c>
      <c r="Q100" s="13" t="e">
        <f>#REF!</f>
        <v>#REF!</v>
      </c>
      <c r="R100" s="13" t="e">
        <f>#REF!</f>
        <v>#REF!</v>
      </c>
      <c r="S100" s="13" t="e">
        <f>#REF!</f>
        <v>#REF!</v>
      </c>
      <c r="U100" s="13" t="e">
        <f>#REF!</f>
        <v>#REF!</v>
      </c>
      <c r="W100" s="13" t="e">
        <f t="shared" si="22"/>
        <v>#REF!</v>
      </c>
      <c r="X100" s="13" t="e">
        <f t="shared" si="23"/>
        <v>#REF!</v>
      </c>
      <c r="Y100" s="13" t="e">
        <f t="shared" si="24"/>
        <v>#REF!</v>
      </c>
      <c r="Z100" s="13" t="e">
        <f t="shared" si="25"/>
        <v>#REF!</v>
      </c>
      <c r="AA100" s="13" t="e">
        <f t="shared" si="26"/>
        <v>#REF!</v>
      </c>
    </row>
    <row r="101" spans="2:27" x14ac:dyDescent="0.2">
      <c r="B101" s="9">
        <v>33</v>
      </c>
      <c r="C101" s="9" t="s">
        <v>46</v>
      </c>
      <c r="D101" s="10" t="s">
        <v>89</v>
      </c>
      <c r="E101" s="19" t="s">
        <v>12</v>
      </c>
      <c r="F101" s="10" t="str">
        <f t="shared" si="27"/>
        <v>33EPPREMIUM</v>
      </c>
      <c r="G101" s="13">
        <v>25.182849999999998</v>
      </c>
      <c r="H101" s="13">
        <v>23.378799999999998</v>
      </c>
      <c r="I101" s="13">
        <v>22.16555</v>
      </c>
      <c r="J101" s="13">
        <v>21.543099999999999</v>
      </c>
      <c r="K101" s="13">
        <v>20.952299999999997</v>
      </c>
      <c r="M101" s="13">
        <f t="shared" si="21"/>
        <v>10.81</v>
      </c>
      <c r="O101" s="13" t="e">
        <f>#REF!</f>
        <v>#REF!</v>
      </c>
      <c r="P101" s="13" t="e">
        <f>#REF!</f>
        <v>#REF!</v>
      </c>
      <c r="Q101" s="13" t="e">
        <f>#REF!</f>
        <v>#REF!</v>
      </c>
      <c r="R101" s="13" t="e">
        <f>#REF!</f>
        <v>#REF!</v>
      </c>
      <c r="S101" s="13" t="e">
        <f>#REF!</f>
        <v>#REF!</v>
      </c>
      <c r="U101" s="13" t="e">
        <f>#REF!</f>
        <v>#REF!</v>
      </c>
      <c r="W101" s="13" t="e">
        <f t="shared" si="22"/>
        <v>#REF!</v>
      </c>
      <c r="X101" s="13" t="e">
        <f t="shared" si="23"/>
        <v>#REF!</v>
      </c>
      <c r="Y101" s="13" t="e">
        <f t="shared" si="24"/>
        <v>#REF!</v>
      </c>
      <c r="Z101" s="13" t="e">
        <f t="shared" si="25"/>
        <v>#REF!</v>
      </c>
      <c r="AA101" s="13" t="e">
        <f t="shared" si="26"/>
        <v>#REF!</v>
      </c>
    </row>
    <row r="102" spans="2:27" x14ac:dyDescent="0.2">
      <c r="B102" s="9">
        <v>34</v>
      </c>
      <c r="C102" s="9" t="s">
        <v>46</v>
      </c>
      <c r="D102" s="10" t="s">
        <v>89</v>
      </c>
      <c r="E102" s="19" t="s">
        <v>12</v>
      </c>
      <c r="F102" s="10" t="str">
        <f t="shared" si="27"/>
        <v>34EPPREMIUM</v>
      </c>
      <c r="G102" s="13">
        <v>28.653799999999997</v>
      </c>
      <c r="H102" s="13">
        <v>26.775899999999996</v>
      </c>
      <c r="I102" s="13">
        <v>25.52045</v>
      </c>
      <c r="J102" s="13">
        <v>24.887449999999998</v>
      </c>
      <c r="K102" s="13">
        <v>24.264999999999997</v>
      </c>
      <c r="M102" s="13">
        <f t="shared" si="21"/>
        <v>10.81</v>
      </c>
      <c r="O102" s="13" t="e">
        <f>#REF!</f>
        <v>#REF!</v>
      </c>
      <c r="P102" s="13" t="e">
        <f>#REF!</f>
        <v>#REF!</v>
      </c>
      <c r="Q102" s="13" t="e">
        <f>#REF!</f>
        <v>#REF!</v>
      </c>
      <c r="R102" s="13" t="e">
        <f>#REF!</f>
        <v>#REF!</v>
      </c>
      <c r="S102" s="13" t="e">
        <f>#REF!</f>
        <v>#REF!</v>
      </c>
      <c r="U102" s="13" t="e">
        <f>#REF!</f>
        <v>#REF!</v>
      </c>
      <c r="W102" s="13" t="e">
        <f t="shared" si="22"/>
        <v>#REF!</v>
      </c>
      <c r="X102" s="13" t="e">
        <f t="shared" si="23"/>
        <v>#REF!</v>
      </c>
      <c r="Y102" s="13" t="e">
        <f t="shared" si="24"/>
        <v>#REF!</v>
      </c>
      <c r="Z102" s="13" t="e">
        <f t="shared" si="25"/>
        <v>#REF!</v>
      </c>
      <c r="AA102" s="13" t="e">
        <f t="shared" si="26"/>
        <v>#REF!</v>
      </c>
    </row>
    <row r="103" spans="2:27" x14ac:dyDescent="0.2">
      <c r="B103" s="9">
        <v>35</v>
      </c>
      <c r="C103" s="9" t="s">
        <v>46</v>
      </c>
      <c r="D103" s="10" t="s">
        <v>89</v>
      </c>
      <c r="E103" s="19" t="s">
        <v>12</v>
      </c>
      <c r="F103" s="10" t="str">
        <f t="shared" si="27"/>
        <v>35EPPREMIUM</v>
      </c>
      <c r="G103" s="13">
        <v>30.932599999999997</v>
      </c>
      <c r="H103" s="13">
        <v>29.096899999999998</v>
      </c>
      <c r="I103" s="13">
        <v>27.873100000000001</v>
      </c>
      <c r="J103" s="13">
        <v>27.261199999999999</v>
      </c>
      <c r="K103" s="13">
        <v>26.6493</v>
      </c>
      <c r="M103" s="13">
        <f t="shared" si="21"/>
        <v>10.81</v>
      </c>
      <c r="O103" s="13" t="e">
        <f>#REF!</f>
        <v>#REF!</v>
      </c>
      <c r="P103" s="13" t="e">
        <f>#REF!</f>
        <v>#REF!</v>
      </c>
      <c r="Q103" s="13" t="e">
        <f>#REF!</f>
        <v>#REF!</v>
      </c>
      <c r="R103" s="13" t="e">
        <f>#REF!</f>
        <v>#REF!</v>
      </c>
      <c r="S103" s="13" t="e">
        <f>#REF!</f>
        <v>#REF!</v>
      </c>
      <c r="U103" s="13" t="e">
        <f>#REF!</f>
        <v>#REF!</v>
      </c>
      <c r="W103" s="13" t="e">
        <f t="shared" si="22"/>
        <v>#REF!</v>
      </c>
      <c r="X103" s="13" t="e">
        <f t="shared" si="23"/>
        <v>#REF!</v>
      </c>
      <c r="Y103" s="13" t="e">
        <f t="shared" si="24"/>
        <v>#REF!</v>
      </c>
      <c r="Z103" s="13" t="e">
        <f t="shared" si="25"/>
        <v>#REF!</v>
      </c>
      <c r="AA103" s="13" t="e">
        <f t="shared" si="26"/>
        <v>#REF!</v>
      </c>
    </row>
    <row r="104" spans="2:27" x14ac:dyDescent="0.2">
      <c r="B104" s="9">
        <v>41</v>
      </c>
      <c r="C104" s="9" t="s">
        <v>38</v>
      </c>
      <c r="D104" s="10" t="s">
        <v>89</v>
      </c>
      <c r="E104" s="19" t="s">
        <v>12</v>
      </c>
      <c r="F104" s="10" t="str">
        <f t="shared" si="27"/>
        <v>41EPPREMIUM</v>
      </c>
      <c r="G104" s="14">
        <v>17.288999999999998</v>
      </c>
      <c r="H104" s="14">
        <v>15.708</v>
      </c>
      <c r="I104" s="14">
        <v>14.637</v>
      </c>
      <c r="J104" s="14">
        <v>14.076000000000001</v>
      </c>
      <c r="K104" s="14">
        <v>13.668000000000001</v>
      </c>
      <c r="M104" s="14">
        <f t="shared" si="21"/>
        <v>9.76</v>
      </c>
      <c r="O104" s="14" t="e">
        <f>#REF!</f>
        <v>#REF!</v>
      </c>
      <c r="P104" s="14" t="e">
        <f>#REF!</f>
        <v>#REF!</v>
      </c>
      <c r="Q104" s="14" t="e">
        <f>#REF!</f>
        <v>#REF!</v>
      </c>
      <c r="R104" s="14" t="e">
        <f>#REF!</f>
        <v>#REF!</v>
      </c>
      <c r="S104" s="14" t="e">
        <f>#REF!</f>
        <v>#REF!</v>
      </c>
      <c r="U104" s="14" t="e">
        <f>#REF!</f>
        <v>#REF!</v>
      </c>
      <c r="W104" s="14" t="e">
        <f t="shared" si="22"/>
        <v>#REF!</v>
      </c>
      <c r="X104" s="14" t="e">
        <f t="shared" si="23"/>
        <v>#REF!</v>
      </c>
      <c r="Y104" s="14" t="e">
        <f t="shared" si="24"/>
        <v>#REF!</v>
      </c>
      <c r="Z104" s="14" t="e">
        <f t="shared" si="25"/>
        <v>#REF!</v>
      </c>
      <c r="AA104" s="14" t="e">
        <f t="shared" si="26"/>
        <v>#REF!</v>
      </c>
    </row>
    <row r="105" spans="2:27" x14ac:dyDescent="0.2">
      <c r="B105" s="9">
        <v>42</v>
      </c>
      <c r="C105" s="9" t="s">
        <v>38</v>
      </c>
      <c r="D105" s="10" t="s">
        <v>89</v>
      </c>
      <c r="E105" s="19" t="s">
        <v>12</v>
      </c>
      <c r="F105" s="10" t="str">
        <f t="shared" si="27"/>
        <v>42EPPREMIUM</v>
      </c>
      <c r="G105" s="14">
        <v>19.635000000000002</v>
      </c>
      <c r="H105" s="14">
        <v>17.952000000000002</v>
      </c>
      <c r="I105" s="14">
        <v>16.881</v>
      </c>
      <c r="J105" s="14">
        <v>16.32</v>
      </c>
      <c r="K105" s="14">
        <v>15.911999999999999</v>
      </c>
      <c r="M105" s="14">
        <f t="shared" si="21"/>
        <v>9.76</v>
      </c>
      <c r="O105" s="14" t="e">
        <f>#REF!</f>
        <v>#REF!</v>
      </c>
      <c r="P105" s="14" t="e">
        <f>#REF!</f>
        <v>#REF!</v>
      </c>
      <c r="Q105" s="14" t="e">
        <f>#REF!</f>
        <v>#REF!</v>
      </c>
      <c r="R105" s="14" t="e">
        <f>#REF!</f>
        <v>#REF!</v>
      </c>
      <c r="S105" s="14" t="e">
        <f>#REF!</f>
        <v>#REF!</v>
      </c>
      <c r="U105" s="14" t="e">
        <f>#REF!</f>
        <v>#REF!</v>
      </c>
      <c r="W105" s="14" t="e">
        <f t="shared" si="22"/>
        <v>#REF!</v>
      </c>
      <c r="X105" s="14" t="e">
        <f t="shared" si="23"/>
        <v>#REF!</v>
      </c>
      <c r="Y105" s="14" t="e">
        <f t="shared" si="24"/>
        <v>#REF!</v>
      </c>
      <c r="Z105" s="14" t="e">
        <f t="shared" si="25"/>
        <v>#REF!</v>
      </c>
      <c r="AA105" s="14" t="e">
        <f t="shared" si="26"/>
        <v>#REF!</v>
      </c>
    </row>
    <row r="106" spans="2:27" x14ac:dyDescent="0.2">
      <c r="B106" s="9">
        <v>43</v>
      </c>
      <c r="C106" s="9" t="s">
        <v>38</v>
      </c>
      <c r="D106" s="10" t="s">
        <v>89</v>
      </c>
      <c r="E106" s="19" t="s">
        <v>12</v>
      </c>
      <c r="F106" s="10" t="str">
        <f t="shared" si="27"/>
        <v>43EPPREMIUM</v>
      </c>
      <c r="G106" s="14">
        <v>22.388999999999999</v>
      </c>
      <c r="H106" s="14">
        <v>20.808</v>
      </c>
      <c r="I106" s="14">
        <v>19.737000000000002</v>
      </c>
      <c r="J106" s="14">
        <v>19.176000000000002</v>
      </c>
      <c r="K106" s="14">
        <v>18.767999999999997</v>
      </c>
      <c r="M106" s="14">
        <f t="shared" si="21"/>
        <v>9.76</v>
      </c>
      <c r="O106" s="14" t="e">
        <f>#REF!</f>
        <v>#REF!</v>
      </c>
      <c r="P106" s="14" t="e">
        <f>#REF!</f>
        <v>#REF!</v>
      </c>
      <c r="Q106" s="14" t="e">
        <f>#REF!</f>
        <v>#REF!</v>
      </c>
      <c r="R106" s="14" t="e">
        <f>#REF!</f>
        <v>#REF!</v>
      </c>
      <c r="S106" s="14" t="e">
        <f>#REF!</f>
        <v>#REF!</v>
      </c>
      <c r="U106" s="14" t="e">
        <f>#REF!</f>
        <v>#REF!</v>
      </c>
      <c r="W106" s="14" t="e">
        <f t="shared" si="22"/>
        <v>#REF!</v>
      </c>
      <c r="X106" s="14" t="e">
        <f t="shared" si="23"/>
        <v>#REF!</v>
      </c>
      <c r="Y106" s="14" t="e">
        <f t="shared" si="24"/>
        <v>#REF!</v>
      </c>
      <c r="Z106" s="14" t="e">
        <f t="shared" si="25"/>
        <v>#REF!</v>
      </c>
      <c r="AA106" s="14" t="e">
        <f t="shared" si="26"/>
        <v>#REF!</v>
      </c>
    </row>
    <row r="107" spans="2:27" x14ac:dyDescent="0.2">
      <c r="B107" s="9">
        <v>44</v>
      </c>
      <c r="C107" s="9" t="s">
        <v>38</v>
      </c>
      <c r="D107" s="10" t="s">
        <v>89</v>
      </c>
      <c r="E107" s="19" t="s">
        <v>12</v>
      </c>
      <c r="F107" s="10" t="str">
        <f t="shared" si="27"/>
        <v>44EPPREMIUM</v>
      </c>
      <c r="G107" s="14">
        <v>112.58759999999999</v>
      </c>
      <c r="H107" s="14">
        <v>110.5068</v>
      </c>
      <c r="I107" s="14">
        <v>107.90580000000001</v>
      </c>
      <c r="J107" s="14">
        <v>105.825</v>
      </c>
      <c r="K107" s="14">
        <v>103.224</v>
      </c>
      <c r="M107" s="14">
        <f t="shared" si="21"/>
        <v>9.76</v>
      </c>
      <c r="O107" s="14" t="e">
        <f>#REF!</f>
        <v>#REF!</v>
      </c>
      <c r="P107" s="14" t="e">
        <f>#REF!</f>
        <v>#REF!</v>
      </c>
      <c r="Q107" s="14" t="e">
        <f>#REF!</f>
        <v>#REF!</v>
      </c>
      <c r="R107" s="14" t="e">
        <f>#REF!</f>
        <v>#REF!</v>
      </c>
      <c r="S107" s="14" t="e">
        <f>#REF!</f>
        <v>#REF!</v>
      </c>
      <c r="U107" s="14" t="e">
        <f>#REF!</f>
        <v>#REF!</v>
      </c>
      <c r="W107" s="14" t="e">
        <f t="shared" si="22"/>
        <v>#REF!</v>
      </c>
      <c r="X107" s="14" t="e">
        <f t="shared" si="23"/>
        <v>#REF!</v>
      </c>
      <c r="Y107" s="14" t="e">
        <f t="shared" si="24"/>
        <v>#REF!</v>
      </c>
      <c r="Z107" s="14" t="e">
        <f t="shared" si="25"/>
        <v>#REF!</v>
      </c>
      <c r="AA107" s="14" t="e">
        <f t="shared" si="26"/>
        <v>#REF!</v>
      </c>
    </row>
    <row r="108" spans="2:27" x14ac:dyDescent="0.2">
      <c r="B108" s="9">
        <v>45</v>
      </c>
      <c r="C108" s="9" t="s">
        <v>38</v>
      </c>
      <c r="D108" s="10" t="s">
        <v>89</v>
      </c>
      <c r="E108" s="19" t="s">
        <v>12</v>
      </c>
      <c r="F108" s="10" t="str">
        <f t="shared" si="27"/>
        <v>45EPPREMIUM</v>
      </c>
      <c r="G108" s="14">
        <v>119.3502</v>
      </c>
      <c r="H108" s="14">
        <v>116.7492</v>
      </c>
      <c r="I108" s="14">
        <v>114.66840000000001</v>
      </c>
      <c r="J108" s="14">
        <v>111.5472</v>
      </c>
      <c r="K108" s="14">
        <v>109.46639999999999</v>
      </c>
      <c r="M108" s="14">
        <f t="shared" si="21"/>
        <v>9.76</v>
      </c>
      <c r="O108" s="14" t="e">
        <f>#REF!</f>
        <v>#REF!</v>
      </c>
      <c r="P108" s="14" t="e">
        <f>#REF!</f>
        <v>#REF!</v>
      </c>
      <c r="Q108" s="14" t="e">
        <f>#REF!</f>
        <v>#REF!</v>
      </c>
      <c r="R108" s="14" t="e">
        <f>#REF!</f>
        <v>#REF!</v>
      </c>
      <c r="S108" s="14" t="e">
        <f>#REF!</f>
        <v>#REF!</v>
      </c>
      <c r="U108" s="14" t="e">
        <f>#REF!</f>
        <v>#REF!</v>
      </c>
      <c r="W108" s="14" t="e">
        <f t="shared" si="22"/>
        <v>#REF!</v>
      </c>
      <c r="X108" s="14" t="e">
        <f t="shared" si="23"/>
        <v>#REF!</v>
      </c>
      <c r="Y108" s="14" t="e">
        <f t="shared" si="24"/>
        <v>#REF!</v>
      </c>
      <c r="Z108" s="14" t="e">
        <f t="shared" si="25"/>
        <v>#REF!</v>
      </c>
      <c r="AA108" s="14" t="e">
        <f t="shared" si="26"/>
        <v>#REF!</v>
      </c>
    </row>
    <row r="109" spans="2:27" x14ac:dyDescent="0.2">
      <c r="B109" s="9">
        <v>51</v>
      </c>
      <c r="C109" s="9" t="s">
        <v>39</v>
      </c>
      <c r="D109" s="10" t="s">
        <v>89</v>
      </c>
      <c r="E109" s="19" t="s">
        <v>12</v>
      </c>
      <c r="F109" s="10" t="str">
        <f t="shared" si="27"/>
        <v>51EPPREMIUM</v>
      </c>
      <c r="G109" s="18">
        <v>17.288999999999998</v>
      </c>
      <c r="H109" s="18">
        <v>15.708</v>
      </c>
      <c r="I109" s="18">
        <v>14.637</v>
      </c>
      <c r="J109" s="18">
        <v>14.076000000000001</v>
      </c>
      <c r="K109" s="18">
        <v>13.668000000000001</v>
      </c>
      <c r="M109" s="18">
        <f t="shared" si="21"/>
        <v>9.76</v>
      </c>
      <c r="O109" s="18" t="e">
        <f>#REF!</f>
        <v>#REF!</v>
      </c>
      <c r="P109" s="18" t="e">
        <f>#REF!</f>
        <v>#REF!</v>
      </c>
      <c r="Q109" s="18" t="e">
        <f>#REF!</f>
        <v>#REF!</v>
      </c>
      <c r="R109" s="18" t="e">
        <f>#REF!</f>
        <v>#REF!</v>
      </c>
      <c r="S109" s="18" t="e">
        <f>#REF!</f>
        <v>#REF!</v>
      </c>
      <c r="U109" s="18" t="e">
        <f>#REF!</f>
        <v>#REF!</v>
      </c>
      <c r="W109" s="18" t="e">
        <f t="shared" si="22"/>
        <v>#REF!</v>
      </c>
      <c r="X109" s="18" t="e">
        <f t="shared" si="23"/>
        <v>#REF!</v>
      </c>
      <c r="Y109" s="18" t="e">
        <f t="shared" si="24"/>
        <v>#REF!</v>
      </c>
      <c r="Z109" s="18" t="e">
        <f t="shared" si="25"/>
        <v>#REF!</v>
      </c>
      <c r="AA109" s="18" t="e">
        <f t="shared" si="26"/>
        <v>#REF!</v>
      </c>
    </row>
    <row r="110" spans="2:27" x14ac:dyDescent="0.2">
      <c r="B110" s="9">
        <v>52</v>
      </c>
      <c r="C110" s="9" t="s">
        <v>39</v>
      </c>
      <c r="D110" s="10" t="s">
        <v>89</v>
      </c>
      <c r="E110" s="19" t="s">
        <v>12</v>
      </c>
      <c r="F110" s="10" t="str">
        <f t="shared" si="27"/>
        <v>52EPPREMIUM</v>
      </c>
      <c r="G110" s="18">
        <v>19.635000000000002</v>
      </c>
      <c r="H110" s="18">
        <v>17.952000000000002</v>
      </c>
      <c r="I110" s="18">
        <v>16.881</v>
      </c>
      <c r="J110" s="18">
        <v>16.32</v>
      </c>
      <c r="K110" s="18">
        <v>15.911999999999999</v>
      </c>
      <c r="M110" s="18">
        <f t="shared" si="21"/>
        <v>9.76</v>
      </c>
      <c r="O110" s="18" t="e">
        <f>#REF!</f>
        <v>#REF!</v>
      </c>
      <c r="P110" s="18" t="e">
        <f>#REF!</f>
        <v>#REF!</v>
      </c>
      <c r="Q110" s="18" t="e">
        <f>#REF!</f>
        <v>#REF!</v>
      </c>
      <c r="R110" s="18" t="e">
        <f>#REF!</f>
        <v>#REF!</v>
      </c>
      <c r="S110" s="18" t="e">
        <f>#REF!</f>
        <v>#REF!</v>
      </c>
      <c r="U110" s="18" t="e">
        <f>#REF!</f>
        <v>#REF!</v>
      </c>
      <c r="W110" s="18" t="e">
        <f t="shared" si="22"/>
        <v>#REF!</v>
      </c>
      <c r="X110" s="18" t="e">
        <f t="shared" si="23"/>
        <v>#REF!</v>
      </c>
      <c r="Y110" s="18" t="e">
        <f t="shared" si="24"/>
        <v>#REF!</v>
      </c>
      <c r="Z110" s="18" t="e">
        <f t="shared" si="25"/>
        <v>#REF!</v>
      </c>
      <c r="AA110" s="18" t="e">
        <f t="shared" si="26"/>
        <v>#REF!</v>
      </c>
    </row>
    <row r="111" spans="2:27" x14ac:dyDescent="0.2">
      <c r="B111" s="9">
        <v>53</v>
      </c>
      <c r="C111" s="9" t="s">
        <v>39</v>
      </c>
      <c r="D111" s="10" t="s">
        <v>89</v>
      </c>
      <c r="E111" s="19" t="s">
        <v>12</v>
      </c>
      <c r="F111" s="10" t="str">
        <f t="shared" si="27"/>
        <v>53EPPREMIUM</v>
      </c>
      <c r="G111" s="18">
        <v>22.388999999999999</v>
      </c>
      <c r="H111" s="18">
        <v>20.808</v>
      </c>
      <c r="I111" s="18">
        <v>19.737000000000002</v>
      </c>
      <c r="J111" s="18">
        <v>19.176000000000002</v>
      </c>
      <c r="K111" s="18">
        <v>18.767999999999997</v>
      </c>
      <c r="M111" s="18">
        <f t="shared" si="21"/>
        <v>9.76</v>
      </c>
      <c r="O111" s="18" t="e">
        <f>#REF!</f>
        <v>#REF!</v>
      </c>
      <c r="P111" s="18" t="e">
        <f>#REF!</f>
        <v>#REF!</v>
      </c>
      <c r="Q111" s="18" t="e">
        <f>#REF!</f>
        <v>#REF!</v>
      </c>
      <c r="R111" s="18" t="e">
        <f>#REF!</f>
        <v>#REF!</v>
      </c>
      <c r="S111" s="18" t="e">
        <f>#REF!</f>
        <v>#REF!</v>
      </c>
      <c r="U111" s="18" t="e">
        <f>#REF!</f>
        <v>#REF!</v>
      </c>
      <c r="W111" s="18" t="e">
        <f t="shared" si="22"/>
        <v>#REF!</v>
      </c>
      <c r="X111" s="18" t="e">
        <f t="shared" si="23"/>
        <v>#REF!</v>
      </c>
      <c r="Y111" s="18" t="e">
        <f t="shared" si="24"/>
        <v>#REF!</v>
      </c>
      <c r="Z111" s="18" t="e">
        <f t="shared" si="25"/>
        <v>#REF!</v>
      </c>
      <c r="AA111" s="18" t="e">
        <f t="shared" si="26"/>
        <v>#REF!</v>
      </c>
    </row>
    <row r="112" spans="2:27" x14ac:dyDescent="0.2">
      <c r="B112" s="9">
        <v>54</v>
      </c>
      <c r="C112" s="9" t="s">
        <v>39</v>
      </c>
      <c r="D112" s="10" t="s">
        <v>89</v>
      </c>
      <c r="E112" s="19" t="s">
        <v>12</v>
      </c>
      <c r="F112" s="10" t="str">
        <f t="shared" si="27"/>
        <v>54EPPREMIUM</v>
      </c>
      <c r="G112" s="18">
        <v>25.143000000000001</v>
      </c>
      <c r="H112" s="18">
        <v>23.663999999999998</v>
      </c>
      <c r="I112" s="18">
        <v>22.593</v>
      </c>
      <c r="J112" s="18">
        <v>22.032000000000004</v>
      </c>
      <c r="K112" s="18">
        <v>21.623999999999999</v>
      </c>
      <c r="M112" s="18">
        <f t="shared" si="21"/>
        <v>9.76</v>
      </c>
      <c r="O112" s="18" t="e">
        <f>#REF!</f>
        <v>#REF!</v>
      </c>
      <c r="P112" s="18" t="e">
        <f>#REF!</f>
        <v>#REF!</v>
      </c>
      <c r="Q112" s="18" t="e">
        <f>#REF!</f>
        <v>#REF!</v>
      </c>
      <c r="R112" s="18" t="e">
        <f>#REF!</f>
        <v>#REF!</v>
      </c>
      <c r="S112" s="18" t="e">
        <f>#REF!</f>
        <v>#REF!</v>
      </c>
      <c r="U112" s="18" t="e">
        <f>#REF!</f>
        <v>#REF!</v>
      </c>
      <c r="W112" s="18" t="e">
        <f t="shared" si="22"/>
        <v>#REF!</v>
      </c>
      <c r="X112" s="18" t="e">
        <f t="shared" si="23"/>
        <v>#REF!</v>
      </c>
      <c r="Y112" s="18" t="e">
        <f t="shared" si="24"/>
        <v>#REF!</v>
      </c>
      <c r="Z112" s="18" t="e">
        <f t="shared" si="25"/>
        <v>#REF!</v>
      </c>
      <c r="AA112" s="18" t="e">
        <f t="shared" si="26"/>
        <v>#REF!</v>
      </c>
    </row>
    <row r="113" spans="2:27" x14ac:dyDescent="0.2">
      <c r="B113" s="9">
        <v>1</v>
      </c>
      <c r="C113" s="9" t="s">
        <v>36</v>
      </c>
      <c r="D113" s="10" t="s">
        <v>89</v>
      </c>
      <c r="E113" s="20" t="s">
        <v>18</v>
      </c>
      <c r="F113" s="10" t="str">
        <f t="shared" si="27"/>
        <v>1EPECONOMY</v>
      </c>
      <c r="G113" s="11">
        <v>19.23845</v>
      </c>
      <c r="H113" s="11">
        <v>17.472399999999997</v>
      </c>
      <c r="I113" s="11">
        <v>15.12115</v>
      </c>
      <c r="J113" s="11">
        <v>14.53595</v>
      </c>
      <c r="K113" s="11">
        <v>13.940299999999999</v>
      </c>
      <c r="M113" s="11">
        <f t="shared" si="21"/>
        <v>11.61</v>
      </c>
      <c r="O113" s="11" t="e">
        <f>#REF!</f>
        <v>#REF!</v>
      </c>
      <c r="P113" s="11" t="e">
        <f>#REF!</f>
        <v>#REF!</v>
      </c>
      <c r="Q113" s="11" t="e">
        <f>#REF!</f>
        <v>#REF!</v>
      </c>
      <c r="R113" s="11" t="e">
        <f>#REF!</f>
        <v>#REF!</v>
      </c>
      <c r="S113" s="11" t="e">
        <f>#REF!</f>
        <v>#REF!</v>
      </c>
      <c r="U113" s="11" t="e">
        <f>#REF!</f>
        <v>#REF!</v>
      </c>
      <c r="W113" s="11" t="e">
        <f t="shared" si="22"/>
        <v>#REF!</v>
      </c>
      <c r="X113" s="11" t="e">
        <f t="shared" si="23"/>
        <v>#REF!</v>
      </c>
      <c r="Y113" s="11" t="e">
        <f t="shared" si="24"/>
        <v>#REF!</v>
      </c>
      <c r="Z113" s="11" t="e">
        <f t="shared" si="25"/>
        <v>#REF!</v>
      </c>
      <c r="AA113" s="11" t="e">
        <f t="shared" si="26"/>
        <v>#REF!</v>
      </c>
    </row>
    <row r="114" spans="2:27" x14ac:dyDescent="0.2">
      <c r="B114" s="9">
        <v>2</v>
      </c>
      <c r="C114" s="9" t="s">
        <v>36</v>
      </c>
      <c r="D114" s="10" t="s">
        <v>89</v>
      </c>
      <c r="E114" s="20" t="s">
        <v>18</v>
      </c>
      <c r="F114" s="10" t="str">
        <f t="shared" si="27"/>
        <v>2EPECONOMY</v>
      </c>
      <c r="G114" s="11">
        <v>22.770549999999997</v>
      </c>
      <c r="H114" s="11">
        <v>20.994049999999998</v>
      </c>
      <c r="I114" s="11">
        <v>17.472399999999997</v>
      </c>
      <c r="J114" s="11">
        <v>17.472399999999997</v>
      </c>
      <c r="K114" s="11">
        <v>16.291549999999997</v>
      </c>
      <c r="M114" s="11">
        <f t="shared" si="21"/>
        <v>11.61</v>
      </c>
      <c r="O114" s="11" t="e">
        <f>#REF!</f>
        <v>#REF!</v>
      </c>
      <c r="P114" s="11" t="e">
        <f>#REF!</f>
        <v>#REF!</v>
      </c>
      <c r="Q114" s="11" t="e">
        <f>#REF!</f>
        <v>#REF!</v>
      </c>
      <c r="R114" s="11" t="e">
        <f>#REF!</f>
        <v>#REF!</v>
      </c>
      <c r="S114" s="11" t="e">
        <f>#REF!</f>
        <v>#REF!</v>
      </c>
      <c r="U114" s="11" t="e">
        <f>#REF!</f>
        <v>#REF!</v>
      </c>
      <c r="W114" s="11" t="e">
        <f t="shared" si="22"/>
        <v>#REF!</v>
      </c>
      <c r="X114" s="11" t="e">
        <f t="shared" si="23"/>
        <v>#REF!</v>
      </c>
      <c r="Y114" s="11" t="e">
        <f t="shared" si="24"/>
        <v>#REF!</v>
      </c>
      <c r="Z114" s="11" t="e">
        <f t="shared" si="25"/>
        <v>#REF!</v>
      </c>
      <c r="AA114" s="11" t="e">
        <f t="shared" si="26"/>
        <v>#REF!</v>
      </c>
    </row>
    <row r="115" spans="2:27" x14ac:dyDescent="0.2">
      <c r="B115" s="9">
        <v>3</v>
      </c>
      <c r="C115" s="9" t="s">
        <v>36</v>
      </c>
      <c r="D115" s="10" t="s">
        <v>89</v>
      </c>
      <c r="E115" s="20" t="s">
        <v>18</v>
      </c>
      <c r="F115" s="10" t="str">
        <f t="shared" si="27"/>
        <v>3EPECONOMY</v>
      </c>
      <c r="G115" s="11">
        <v>26.354899999999997</v>
      </c>
      <c r="H115" s="11">
        <v>24.599299999999996</v>
      </c>
      <c r="I115" s="11">
        <v>20.471549999999997</v>
      </c>
      <c r="J115" s="11">
        <v>19.88635</v>
      </c>
      <c r="K115" s="11">
        <v>19.290700000000001</v>
      </c>
      <c r="M115" s="11">
        <f t="shared" si="21"/>
        <v>11.61</v>
      </c>
      <c r="O115" s="11" t="e">
        <f>#REF!</f>
        <v>#REF!</v>
      </c>
      <c r="P115" s="11" t="e">
        <f>#REF!</f>
        <v>#REF!</v>
      </c>
      <c r="Q115" s="11" t="e">
        <f>#REF!</f>
        <v>#REF!</v>
      </c>
      <c r="R115" s="11" t="e">
        <f>#REF!</f>
        <v>#REF!</v>
      </c>
      <c r="S115" s="11" t="e">
        <f>#REF!</f>
        <v>#REF!</v>
      </c>
      <c r="U115" s="11" t="e">
        <f>#REF!</f>
        <v>#REF!</v>
      </c>
      <c r="W115" s="11" t="e">
        <f t="shared" si="22"/>
        <v>#REF!</v>
      </c>
      <c r="X115" s="11" t="e">
        <f t="shared" si="23"/>
        <v>#REF!</v>
      </c>
      <c r="Y115" s="11" t="e">
        <f t="shared" si="24"/>
        <v>#REF!</v>
      </c>
      <c r="Z115" s="11" t="e">
        <f t="shared" si="25"/>
        <v>#REF!</v>
      </c>
      <c r="AA115" s="11" t="e">
        <f t="shared" si="26"/>
        <v>#REF!</v>
      </c>
    </row>
    <row r="116" spans="2:27" x14ac:dyDescent="0.2">
      <c r="B116" s="9">
        <v>4</v>
      </c>
      <c r="C116" s="9" t="s">
        <v>36</v>
      </c>
      <c r="D116" s="10" t="s">
        <v>89</v>
      </c>
      <c r="E116" s="20" t="s">
        <v>18</v>
      </c>
      <c r="F116" s="10" t="str">
        <f t="shared" si="27"/>
        <v>4EPECONOMY</v>
      </c>
      <c r="G116" s="11">
        <v>31.06785</v>
      </c>
      <c r="H116" s="11">
        <v>29.301799999999997</v>
      </c>
      <c r="I116" s="11">
        <v>25.174049999999998</v>
      </c>
      <c r="J116" s="11">
        <v>24.599299999999996</v>
      </c>
      <c r="K116" s="11">
        <v>23.41845</v>
      </c>
      <c r="M116" s="11">
        <f t="shared" si="21"/>
        <v>11.61</v>
      </c>
      <c r="O116" s="11" t="e">
        <f>#REF!</f>
        <v>#REF!</v>
      </c>
      <c r="P116" s="11" t="e">
        <f>#REF!</f>
        <v>#REF!</v>
      </c>
      <c r="Q116" s="11" t="e">
        <f>#REF!</f>
        <v>#REF!</v>
      </c>
      <c r="R116" s="11" t="e">
        <f>#REF!</f>
        <v>#REF!</v>
      </c>
      <c r="S116" s="11" t="e">
        <f>#REF!</f>
        <v>#REF!</v>
      </c>
      <c r="U116" s="11" t="e">
        <f>#REF!</f>
        <v>#REF!</v>
      </c>
      <c r="W116" s="11" t="e">
        <f t="shared" si="22"/>
        <v>#REF!</v>
      </c>
      <c r="X116" s="11" t="e">
        <f t="shared" si="23"/>
        <v>#REF!</v>
      </c>
      <c r="Y116" s="11" t="e">
        <f t="shared" si="24"/>
        <v>#REF!</v>
      </c>
      <c r="Z116" s="11" t="e">
        <f t="shared" si="25"/>
        <v>#REF!</v>
      </c>
      <c r="AA116" s="11" t="e">
        <f t="shared" si="26"/>
        <v>#REF!</v>
      </c>
    </row>
    <row r="117" spans="2:27" x14ac:dyDescent="0.2">
      <c r="B117" s="9">
        <v>5</v>
      </c>
      <c r="C117" s="9" t="s">
        <v>36</v>
      </c>
      <c r="D117" s="10" t="s">
        <v>89</v>
      </c>
      <c r="E117" s="20" t="s">
        <v>18</v>
      </c>
      <c r="F117" s="10" t="str">
        <f t="shared" si="27"/>
        <v>5EPECONOMY</v>
      </c>
      <c r="G117" s="11">
        <v>35.247849999999993</v>
      </c>
      <c r="H117" s="11">
        <v>33.44</v>
      </c>
      <c r="I117" s="11">
        <v>28.6539</v>
      </c>
      <c r="J117" s="11">
        <v>28.058250000000001</v>
      </c>
      <c r="K117" s="11">
        <v>27.452149999999996</v>
      </c>
      <c r="M117" s="11">
        <f t="shared" si="21"/>
        <v>11.61</v>
      </c>
      <c r="O117" s="11" t="e">
        <f>#REF!</f>
        <v>#REF!</v>
      </c>
      <c r="P117" s="11" t="e">
        <f>#REF!</f>
        <v>#REF!</v>
      </c>
      <c r="Q117" s="11" t="e">
        <f>#REF!</f>
        <v>#REF!</v>
      </c>
      <c r="R117" s="11" t="e">
        <f>#REF!</f>
        <v>#REF!</v>
      </c>
      <c r="S117" s="11" t="e">
        <f>#REF!</f>
        <v>#REF!</v>
      </c>
      <c r="U117" s="11" t="e">
        <f>#REF!</f>
        <v>#REF!</v>
      </c>
      <c r="W117" s="11" t="e">
        <f t="shared" si="22"/>
        <v>#REF!</v>
      </c>
      <c r="X117" s="11" t="e">
        <f t="shared" si="23"/>
        <v>#REF!</v>
      </c>
      <c r="Y117" s="11" t="e">
        <f t="shared" si="24"/>
        <v>#REF!</v>
      </c>
      <c r="Z117" s="11" t="e">
        <f t="shared" si="25"/>
        <v>#REF!</v>
      </c>
      <c r="AA117" s="11" t="e">
        <f t="shared" si="26"/>
        <v>#REF!</v>
      </c>
    </row>
    <row r="118" spans="2:27" x14ac:dyDescent="0.2">
      <c r="B118" s="9">
        <v>6</v>
      </c>
      <c r="C118" s="9" t="s">
        <v>36</v>
      </c>
      <c r="D118" s="10" t="s">
        <v>89</v>
      </c>
      <c r="E118" s="20" t="s">
        <v>18</v>
      </c>
      <c r="F118" s="10" t="str">
        <f t="shared" si="27"/>
        <v>6EPECONOMY</v>
      </c>
      <c r="G118" s="11">
        <v>41.246149999999993</v>
      </c>
      <c r="H118" s="11">
        <v>38.853099999999998</v>
      </c>
      <c r="I118" s="11">
        <v>34.046099999999996</v>
      </c>
      <c r="J118" s="11">
        <v>33.44</v>
      </c>
      <c r="K118" s="11">
        <v>32.248699999999999</v>
      </c>
      <c r="M118" s="11">
        <f t="shared" si="21"/>
        <v>11.61</v>
      </c>
      <c r="O118" s="11" t="e">
        <f>#REF!</f>
        <v>#REF!</v>
      </c>
      <c r="P118" s="11" t="e">
        <f>#REF!</f>
        <v>#REF!</v>
      </c>
      <c r="Q118" s="11" t="e">
        <f>#REF!</f>
        <v>#REF!</v>
      </c>
      <c r="R118" s="11" t="e">
        <f>#REF!</f>
        <v>#REF!</v>
      </c>
      <c r="S118" s="11" t="e">
        <f>#REF!</f>
        <v>#REF!</v>
      </c>
      <c r="U118" s="11" t="e">
        <f>#REF!</f>
        <v>#REF!</v>
      </c>
      <c r="W118" s="11" t="e">
        <f t="shared" si="22"/>
        <v>#REF!</v>
      </c>
      <c r="X118" s="11" t="e">
        <f t="shared" si="23"/>
        <v>#REF!</v>
      </c>
      <c r="Y118" s="11" t="e">
        <f t="shared" si="24"/>
        <v>#REF!</v>
      </c>
      <c r="Z118" s="11" t="e">
        <f t="shared" si="25"/>
        <v>#REF!</v>
      </c>
      <c r="AA118" s="11" t="e">
        <f t="shared" si="26"/>
        <v>#REF!</v>
      </c>
    </row>
    <row r="119" spans="2:27" x14ac:dyDescent="0.2">
      <c r="B119" s="9">
        <v>7</v>
      </c>
      <c r="C119" s="9" t="s">
        <v>36</v>
      </c>
      <c r="D119" s="10" t="s">
        <v>89</v>
      </c>
      <c r="E119" s="20" t="s">
        <v>18</v>
      </c>
      <c r="F119" s="10" t="str">
        <f t="shared" si="27"/>
        <v>7EPECONOMY</v>
      </c>
      <c r="G119" s="11">
        <v>51.654349999999994</v>
      </c>
      <c r="H119" s="11">
        <v>49.303099999999993</v>
      </c>
      <c r="I119" s="11">
        <v>43.994499999999995</v>
      </c>
      <c r="J119" s="11">
        <v>43.430199999999999</v>
      </c>
      <c r="K119" s="11">
        <v>42.24935</v>
      </c>
      <c r="M119" s="11">
        <f t="shared" si="21"/>
        <v>11.61</v>
      </c>
      <c r="O119" s="11" t="e">
        <f>#REF!</f>
        <v>#REF!</v>
      </c>
      <c r="P119" s="11" t="e">
        <f>#REF!</f>
        <v>#REF!</v>
      </c>
      <c r="Q119" s="11" t="e">
        <f>#REF!</f>
        <v>#REF!</v>
      </c>
      <c r="R119" s="11" t="e">
        <f>#REF!</f>
        <v>#REF!</v>
      </c>
      <c r="S119" s="11" t="e">
        <f>#REF!</f>
        <v>#REF!</v>
      </c>
      <c r="U119" s="11" t="e">
        <f>#REF!</f>
        <v>#REF!</v>
      </c>
      <c r="W119" s="11" t="e">
        <f t="shared" si="22"/>
        <v>#REF!</v>
      </c>
      <c r="X119" s="11" t="e">
        <f t="shared" si="23"/>
        <v>#REF!</v>
      </c>
      <c r="Y119" s="11" t="e">
        <f t="shared" si="24"/>
        <v>#REF!</v>
      </c>
      <c r="Z119" s="11" t="e">
        <f t="shared" si="25"/>
        <v>#REF!</v>
      </c>
      <c r="AA119" s="11" t="e">
        <f t="shared" si="26"/>
        <v>#REF!</v>
      </c>
    </row>
    <row r="120" spans="2:27" x14ac:dyDescent="0.2">
      <c r="B120" s="9">
        <v>8</v>
      </c>
      <c r="C120" s="9" t="s">
        <v>36</v>
      </c>
      <c r="D120" s="10" t="s">
        <v>89</v>
      </c>
      <c r="E120" s="20" t="s">
        <v>18</v>
      </c>
      <c r="F120" s="10" t="str">
        <f t="shared" si="27"/>
        <v>8EPECONOMY</v>
      </c>
      <c r="G120" s="11">
        <v>84.22699999999999</v>
      </c>
      <c r="H120" s="11">
        <v>81.813050000000004</v>
      </c>
      <c r="I120" s="11">
        <v>75.187749999999994</v>
      </c>
      <c r="J120" s="11">
        <v>73.975549999999998</v>
      </c>
      <c r="K120" s="11">
        <v>72.178149999999988</v>
      </c>
      <c r="M120" s="11">
        <f t="shared" si="21"/>
        <v>11.61</v>
      </c>
      <c r="O120" s="11" t="e">
        <f>#REF!</f>
        <v>#REF!</v>
      </c>
      <c r="P120" s="11" t="e">
        <f>#REF!</f>
        <v>#REF!</v>
      </c>
      <c r="Q120" s="11" t="e">
        <f>#REF!</f>
        <v>#REF!</v>
      </c>
      <c r="R120" s="11" t="e">
        <f>#REF!</f>
        <v>#REF!</v>
      </c>
      <c r="S120" s="11" t="e">
        <f>#REF!</f>
        <v>#REF!</v>
      </c>
      <c r="U120" s="11" t="e">
        <f>#REF!</f>
        <v>#REF!</v>
      </c>
      <c r="W120" s="11" t="e">
        <f t="shared" si="22"/>
        <v>#REF!</v>
      </c>
      <c r="X120" s="11" t="e">
        <f t="shared" si="23"/>
        <v>#REF!</v>
      </c>
      <c r="Y120" s="11" t="e">
        <f t="shared" si="24"/>
        <v>#REF!</v>
      </c>
      <c r="Z120" s="11" t="e">
        <f t="shared" si="25"/>
        <v>#REF!</v>
      </c>
      <c r="AA120" s="11" t="e">
        <f t="shared" si="26"/>
        <v>#REF!</v>
      </c>
    </row>
    <row r="121" spans="2:27" x14ac:dyDescent="0.2">
      <c r="B121" s="9">
        <v>9</v>
      </c>
      <c r="C121" s="9" t="s">
        <v>36</v>
      </c>
      <c r="D121" s="10" t="s">
        <v>89</v>
      </c>
      <c r="E121" s="20" t="s">
        <v>18</v>
      </c>
      <c r="F121" s="10" t="str">
        <f t="shared" si="27"/>
        <v>9EPECONOMY</v>
      </c>
      <c r="G121" s="11">
        <v>127.14514999999999</v>
      </c>
      <c r="H121" s="11">
        <v>124.36545</v>
      </c>
      <c r="I121" s="11">
        <v>121.5962</v>
      </c>
      <c r="J121" s="11">
        <v>117.16539999999999</v>
      </c>
      <c r="K121" s="11">
        <v>114.93954999999998</v>
      </c>
      <c r="M121" s="11">
        <f t="shared" si="21"/>
        <v>11.61</v>
      </c>
      <c r="O121" s="11" t="e">
        <f>#REF!</f>
        <v>#REF!</v>
      </c>
      <c r="P121" s="11" t="e">
        <f>#REF!</f>
        <v>#REF!</v>
      </c>
      <c r="Q121" s="11" t="e">
        <f>#REF!</f>
        <v>#REF!</v>
      </c>
      <c r="R121" s="11" t="e">
        <f>#REF!</f>
        <v>#REF!</v>
      </c>
      <c r="S121" s="11" t="e">
        <f>#REF!</f>
        <v>#REF!</v>
      </c>
      <c r="U121" s="11" t="e">
        <f>#REF!</f>
        <v>#REF!</v>
      </c>
      <c r="W121" s="11" t="e">
        <f t="shared" si="22"/>
        <v>#REF!</v>
      </c>
      <c r="X121" s="11" t="e">
        <f t="shared" si="23"/>
        <v>#REF!</v>
      </c>
      <c r="Y121" s="11" t="e">
        <f t="shared" si="24"/>
        <v>#REF!</v>
      </c>
      <c r="Z121" s="11" t="e">
        <f t="shared" si="25"/>
        <v>#REF!</v>
      </c>
      <c r="AA121" s="11" t="e">
        <f t="shared" si="26"/>
        <v>#REF!</v>
      </c>
    </row>
    <row r="122" spans="2:27" x14ac:dyDescent="0.2">
      <c r="B122" s="9">
        <v>10</v>
      </c>
      <c r="C122" s="9" t="s">
        <v>36</v>
      </c>
      <c r="D122" s="10" t="s">
        <v>89</v>
      </c>
      <c r="E122" s="20" t="s">
        <v>18</v>
      </c>
      <c r="F122" s="10" t="str">
        <f t="shared" si="27"/>
        <v>10EPECONOMY</v>
      </c>
      <c r="G122" s="11">
        <v>138.77600000000001</v>
      </c>
      <c r="H122" s="11">
        <v>136.00674999999998</v>
      </c>
      <c r="I122" s="11">
        <v>132.68365</v>
      </c>
      <c r="J122" s="11">
        <v>124.91929999999999</v>
      </c>
      <c r="K122" s="11">
        <v>121.04234999999998</v>
      </c>
      <c r="M122" s="11">
        <f t="shared" si="21"/>
        <v>11.61</v>
      </c>
      <c r="O122" s="11" t="e">
        <f>#REF!</f>
        <v>#REF!</v>
      </c>
      <c r="P122" s="11" t="e">
        <f>#REF!</f>
        <v>#REF!</v>
      </c>
      <c r="Q122" s="11" t="e">
        <f>#REF!</f>
        <v>#REF!</v>
      </c>
      <c r="R122" s="11" t="e">
        <f>#REF!</f>
        <v>#REF!</v>
      </c>
      <c r="S122" s="11" t="e">
        <f>#REF!</f>
        <v>#REF!</v>
      </c>
      <c r="U122" s="11" t="e">
        <f>#REF!</f>
        <v>#REF!</v>
      </c>
      <c r="W122" s="11" t="e">
        <f t="shared" si="22"/>
        <v>#REF!</v>
      </c>
      <c r="X122" s="11" t="e">
        <f t="shared" si="23"/>
        <v>#REF!</v>
      </c>
      <c r="Y122" s="11" t="e">
        <f t="shared" si="24"/>
        <v>#REF!</v>
      </c>
      <c r="Z122" s="11" t="e">
        <f t="shared" si="25"/>
        <v>#REF!</v>
      </c>
      <c r="AA122" s="11" t="e">
        <f t="shared" si="26"/>
        <v>#REF!</v>
      </c>
    </row>
    <row r="123" spans="2:27" x14ac:dyDescent="0.2">
      <c r="B123" s="9">
        <v>11</v>
      </c>
      <c r="C123" s="9" t="s">
        <v>36</v>
      </c>
      <c r="D123" s="10" t="s">
        <v>89</v>
      </c>
      <c r="E123" s="20" t="s">
        <v>18</v>
      </c>
      <c r="F123" s="10" t="str">
        <f t="shared" si="27"/>
        <v>11EPECONOMY</v>
      </c>
      <c r="G123" s="11">
        <v>153.76129999999998</v>
      </c>
      <c r="H123" s="11">
        <v>152.08929999999998</v>
      </c>
      <c r="I123" s="11">
        <v>148.7662</v>
      </c>
      <c r="J123" s="11">
        <v>146.55080000000001</v>
      </c>
      <c r="K123" s="11">
        <v>141.5557</v>
      </c>
      <c r="M123" s="11">
        <f t="shared" si="21"/>
        <v>11.61</v>
      </c>
      <c r="O123" s="11" t="e">
        <f>#REF!</f>
        <v>#REF!</v>
      </c>
      <c r="P123" s="11" t="e">
        <f>#REF!</f>
        <v>#REF!</v>
      </c>
      <c r="Q123" s="11" t="e">
        <f>#REF!</f>
        <v>#REF!</v>
      </c>
      <c r="R123" s="11" t="e">
        <f>#REF!</f>
        <v>#REF!</v>
      </c>
      <c r="S123" s="11" t="e">
        <f>#REF!</f>
        <v>#REF!</v>
      </c>
      <c r="U123" s="11" t="e">
        <f>#REF!</f>
        <v>#REF!</v>
      </c>
      <c r="W123" s="11" t="e">
        <f t="shared" si="22"/>
        <v>#REF!</v>
      </c>
      <c r="X123" s="11" t="e">
        <f t="shared" si="23"/>
        <v>#REF!</v>
      </c>
      <c r="Y123" s="11" t="e">
        <f t="shared" si="24"/>
        <v>#REF!</v>
      </c>
      <c r="Z123" s="11" t="e">
        <f t="shared" si="25"/>
        <v>#REF!</v>
      </c>
      <c r="AA123" s="11" t="e">
        <f t="shared" si="26"/>
        <v>#REF!</v>
      </c>
    </row>
    <row r="124" spans="2:27" x14ac:dyDescent="0.2">
      <c r="B124" s="9">
        <v>12</v>
      </c>
      <c r="C124" s="9" t="s">
        <v>36</v>
      </c>
      <c r="D124" s="10" t="s">
        <v>89</v>
      </c>
      <c r="E124" s="20" t="s">
        <v>18</v>
      </c>
      <c r="F124" s="10" t="str">
        <f t="shared" si="27"/>
        <v>12EPECONOMY</v>
      </c>
      <c r="G124" s="11">
        <v>207.53699999999998</v>
      </c>
      <c r="H124" s="11">
        <v>205.87544999999997</v>
      </c>
      <c r="I124" s="11">
        <v>200.89079999999998</v>
      </c>
      <c r="J124" s="11">
        <v>198.66495</v>
      </c>
      <c r="K124" s="11">
        <v>193.11599999999999</v>
      </c>
      <c r="M124" s="11">
        <f t="shared" si="21"/>
        <v>11.61</v>
      </c>
      <c r="O124" s="11" t="e">
        <f>#REF!</f>
        <v>#REF!</v>
      </c>
      <c r="P124" s="11" t="e">
        <f>#REF!</f>
        <v>#REF!</v>
      </c>
      <c r="Q124" s="11" t="e">
        <f>#REF!</f>
        <v>#REF!</v>
      </c>
      <c r="R124" s="11" t="e">
        <f>#REF!</f>
        <v>#REF!</v>
      </c>
      <c r="S124" s="11" t="e">
        <f>#REF!</f>
        <v>#REF!</v>
      </c>
      <c r="U124" s="11" t="e">
        <f>#REF!</f>
        <v>#REF!</v>
      </c>
      <c r="W124" s="11" t="e">
        <f t="shared" si="22"/>
        <v>#REF!</v>
      </c>
      <c r="X124" s="11" t="e">
        <f t="shared" si="23"/>
        <v>#REF!</v>
      </c>
      <c r="Y124" s="11" t="e">
        <f t="shared" si="24"/>
        <v>#REF!</v>
      </c>
      <c r="Z124" s="11" t="e">
        <f t="shared" si="25"/>
        <v>#REF!</v>
      </c>
      <c r="AA124" s="11" t="e">
        <f t="shared" si="26"/>
        <v>#REF!</v>
      </c>
    </row>
    <row r="125" spans="2:27" x14ac:dyDescent="0.2">
      <c r="B125" s="9">
        <v>13</v>
      </c>
      <c r="C125" s="9" t="s">
        <v>36</v>
      </c>
      <c r="D125" s="10" t="s">
        <v>89</v>
      </c>
      <c r="E125" s="20" t="s">
        <v>18</v>
      </c>
      <c r="F125" s="10" t="str">
        <f t="shared" ref="F125:F126" si="34">B125&amp;D125&amp;E125</f>
        <v>13EPECONOMY</v>
      </c>
      <c r="G125" s="11">
        <v>292.59999999999997</v>
      </c>
      <c r="H125" s="11">
        <v>292.59999999999997</v>
      </c>
      <c r="I125" s="11">
        <v>292.59999999999997</v>
      </c>
      <c r="J125" s="11">
        <v>292.59999999999997</v>
      </c>
      <c r="K125" s="11">
        <v>292.59999999999997</v>
      </c>
      <c r="M125" s="11">
        <f t="shared" si="21"/>
        <v>11.61</v>
      </c>
      <c r="O125" s="11" t="e">
        <f>#REF!</f>
        <v>#REF!</v>
      </c>
      <c r="P125" s="11" t="e">
        <f>#REF!</f>
        <v>#REF!</v>
      </c>
      <c r="Q125" s="11" t="e">
        <f>#REF!</f>
        <v>#REF!</v>
      </c>
      <c r="R125" s="11" t="e">
        <f>#REF!</f>
        <v>#REF!</v>
      </c>
      <c r="S125" s="11" t="e">
        <f>#REF!</f>
        <v>#REF!</v>
      </c>
      <c r="U125" s="11" t="e">
        <f>#REF!</f>
        <v>#REF!</v>
      </c>
      <c r="W125" s="11" t="e">
        <f t="shared" ref="W125:W126" si="35">G125+$M125+O125+$U125</f>
        <v>#REF!</v>
      </c>
      <c r="X125" s="11" t="e">
        <f t="shared" ref="X125:X126" si="36">H125+$M125+P125+$U125</f>
        <v>#REF!</v>
      </c>
      <c r="Y125" s="11" t="e">
        <f t="shared" ref="Y125:Y126" si="37">I125+$M125+Q125+$U125</f>
        <v>#REF!</v>
      </c>
      <c r="Z125" s="11" t="e">
        <f t="shared" ref="Z125:Z126" si="38">J125+$M125+R125+$U125</f>
        <v>#REF!</v>
      </c>
      <c r="AA125" s="11" t="e">
        <f t="shared" ref="AA125:AA126" si="39">K125+$M125+S125+$U125</f>
        <v>#REF!</v>
      </c>
    </row>
    <row r="126" spans="2:27" x14ac:dyDescent="0.2">
      <c r="B126" s="9">
        <v>14</v>
      </c>
      <c r="C126" s="9" t="s">
        <v>36</v>
      </c>
      <c r="D126" s="10" t="s">
        <v>89</v>
      </c>
      <c r="E126" s="20" t="s">
        <v>18</v>
      </c>
      <c r="F126" s="10" t="str">
        <f t="shared" si="34"/>
        <v>14EPECONOMY</v>
      </c>
      <c r="G126" s="11">
        <v>323.95</v>
      </c>
      <c r="H126" s="11">
        <v>323.95</v>
      </c>
      <c r="I126" s="11">
        <v>323.95</v>
      </c>
      <c r="J126" s="11">
        <v>323.95</v>
      </c>
      <c r="K126" s="11">
        <v>323.95</v>
      </c>
      <c r="M126" s="11">
        <f t="shared" si="21"/>
        <v>11.61</v>
      </c>
      <c r="O126" s="11" t="e">
        <f>#REF!</f>
        <v>#REF!</v>
      </c>
      <c r="P126" s="11" t="e">
        <f>#REF!</f>
        <v>#REF!</v>
      </c>
      <c r="Q126" s="11" t="e">
        <f>#REF!</f>
        <v>#REF!</v>
      </c>
      <c r="R126" s="11" t="e">
        <f>#REF!</f>
        <v>#REF!</v>
      </c>
      <c r="S126" s="11" t="e">
        <f>#REF!</f>
        <v>#REF!</v>
      </c>
      <c r="U126" s="11" t="e">
        <f>#REF!</f>
        <v>#REF!</v>
      </c>
      <c r="W126" s="11" t="e">
        <f t="shared" si="35"/>
        <v>#REF!</v>
      </c>
      <c r="X126" s="11" t="e">
        <f t="shared" si="36"/>
        <v>#REF!</v>
      </c>
      <c r="Y126" s="11" t="e">
        <f t="shared" si="37"/>
        <v>#REF!</v>
      </c>
      <c r="Z126" s="11" t="e">
        <f t="shared" si="38"/>
        <v>#REF!</v>
      </c>
      <c r="AA126" s="11" t="e">
        <f t="shared" si="39"/>
        <v>#REF!</v>
      </c>
    </row>
    <row r="127" spans="2:27" x14ac:dyDescent="0.2">
      <c r="B127" s="9">
        <v>21</v>
      </c>
      <c r="C127" s="9" t="s">
        <v>37</v>
      </c>
      <c r="D127" s="10" t="s">
        <v>89</v>
      </c>
      <c r="E127" s="20" t="s">
        <v>18</v>
      </c>
      <c r="F127" s="10" t="str">
        <f t="shared" si="27"/>
        <v>21EPECONOMY</v>
      </c>
      <c r="G127" s="12">
        <v>14.807649999999999</v>
      </c>
      <c r="H127" s="12">
        <v>13.052049999999999</v>
      </c>
      <c r="I127" s="12">
        <v>11.286</v>
      </c>
      <c r="J127" s="12">
        <v>10.721699999999998</v>
      </c>
      <c r="K127" s="12">
        <v>10.126049999999999</v>
      </c>
      <c r="M127" s="12">
        <f t="shared" si="21"/>
        <v>11.51</v>
      </c>
      <c r="O127" s="12" t="e">
        <f>#REF!</f>
        <v>#REF!</v>
      </c>
      <c r="P127" s="12" t="e">
        <f>#REF!</f>
        <v>#REF!</v>
      </c>
      <c r="Q127" s="12" t="e">
        <f>#REF!</f>
        <v>#REF!</v>
      </c>
      <c r="R127" s="12" t="e">
        <f>#REF!</f>
        <v>#REF!</v>
      </c>
      <c r="S127" s="12" t="e">
        <f>#REF!</f>
        <v>#REF!</v>
      </c>
      <c r="U127" s="12" t="e">
        <f>#REF!</f>
        <v>#REF!</v>
      </c>
      <c r="W127" s="12" t="e">
        <f t="shared" si="22"/>
        <v>#REF!</v>
      </c>
      <c r="X127" s="12" t="e">
        <f t="shared" si="23"/>
        <v>#REF!</v>
      </c>
      <c r="Y127" s="12" t="e">
        <f t="shared" si="24"/>
        <v>#REF!</v>
      </c>
      <c r="Z127" s="12" t="e">
        <f t="shared" si="25"/>
        <v>#REF!</v>
      </c>
      <c r="AA127" s="12" t="e">
        <f t="shared" si="26"/>
        <v>#REF!</v>
      </c>
    </row>
    <row r="128" spans="2:27" x14ac:dyDescent="0.2">
      <c r="B128" s="9">
        <v>22</v>
      </c>
      <c r="C128" s="9" t="s">
        <v>37</v>
      </c>
      <c r="D128" s="10" t="s">
        <v>89</v>
      </c>
      <c r="E128" s="20" t="s">
        <v>18</v>
      </c>
      <c r="F128" s="10" t="str">
        <f t="shared" si="27"/>
        <v>22EPECONOMY</v>
      </c>
      <c r="G128" s="12">
        <v>18.736849999999997</v>
      </c>
      <c r="H128" s="12">
        <v>16.834949999999999</v>
      </c>
      <c r="I128" s="12">
        <v>15.048</v>
      </c>
      <c r="J128" s="12">
        <v>14.452349999999999</v>
      </c>
      <c r="K128" s="12">
        <v>13.84625</v>
      </c>
      <c r="M128" s="12">
        <f t="shared" si="21"/>
        <v>11.51</v>
      </c>
      <c r="O128" s="12" t="e">
        <f>#REF!</f>
        <v>#REF!</v>
      </c>
      <c r="P128" s="12" t="e">
        <f>#REF!</f>
        <v>#REF!</v>
      </c>
      <c r="Q128" s="12" t="e">
        <f>#REF!</f>
        <v>#REF!</v>
      </c>
      <c r="R128" s="12" t="e">
        <f>#REF!</f>
        <v>#REF!</v>
      </c>
      <c r="S128" s="12" t="e">
        <f>#REF!</f>
        <v>#REF!</v>
      </c>
      <c r="U128" s="12" t="e">
        <f>#REF!</f>
        <v>#REF!</v>
      </c>
      <c r="W128" s="12" t="e">
        <f t="shared" si="22"/>
        <v>#REF!</v>
      </c>
      <c r="X128" s="12" t="e">
        <f t="shared" si="23"/>
        <v>#REF!</v>
      </c>
      <c r="Y128" s="12" t="e">
        <f t="shared" si="24"/>
        <v>#REF!</v>
      </c>
      <c r="Z128" s="12" t="e">
        <f t="shared" si="25"/>
        <v>#REF!</v>
      </c>
      <c r="AA128" s="12" t="e">
        <f t="shared" si="26"/>
        <v>#REF!</v>
      </c>
    </row>
    <row r="129" spans="2:27" x14ac:dyDescent="0.2">
      <c r="B129" s="9">
        <v>23</v>
      </c>
      <c r="C129" s="9" t="s">
        <v>37</v>
      </c>
      <c r="D129" s="10" t="s">
        <v>89</v>
      </c>
      <c r="E129" s="20" t="s">
        <v>18</v>
      </c>
      <c r="F129" s="10" t="str">
        <f t="shared" si="27"/>
        <v>23EPECONOMY</v>
      </c>
      <c r="G129" s="12">
        <v>21.401599999999998</v>
      </c>
      <c r="H129" s="12">
        <v>19.6251</v>
      </c>
      <c r="I129" s="12">
        <v>17.85905</v>
      </c>
      <c r="J129" s="12">
        <v>17.263399999999997</v>
      </c>
      <c r="K129" s="12">
        <v>16.667749999999998</v>
      </c>
      <c r="M129" s="12">
        <f t="shared" si="21"/>
        <v>11.51</v>
      </c>
      <c r="O129" s="12" t="e">
        <f>#REF!</f>
        <v>#REF!</v>
      </c>
      <c r="P129" s="12" t="e">
        <f>#REF!</f>
        <v>#REF!</v>
      </c>
      <c r="Q129" s="12" t="e">
        <f>#REF!</f>
        <v>#REF!</v>
      </c>
      <c r="R129" s="12" t="e">
        <f>#REF!</f>
        <v>#REF!</v>
      </c>
      <c r="S129" s="12" t="e">
        <f>#REF!</f>
        <v>#REF!</v>
      </c>
      <c r="U129" s="12" t="e">
        <f>#REF!</f>
        <v>#REF!</v>
      </c>
      <c r="W129" s="12" t="e">
        <f t="shared" si="22"/>
        <v>#REF!</v>
      </c>
      <c r="X129" s="12" t="e">
        <f t="shared" si="23"/>
        <v>#REF!</v>
      </c>
      <c r="Y129" s="12" t="e">
        <f t="shared" si="24"/>
        <v>#REF!</v>
      </c>
      <c r="Z129" s="12" t="e">
        <f t="shared" si="25"/>
        <v>#REF!</v>
      </c>
      <c r="AA129" s="12" t="e">
        <f t="shared" si="26"/>
        <v>#REF!</v>
      </c>
    </row>
    <row r="130" spans="2:27" x14ac:dyDescent="0.2">
      <c r="B130" s="9">
        <v>24</v>
      </c>
      <c r="C130" s="9" t="s">
        <v>37</v>
      </c>
      <c r="D130" s="10" t="s">
        <v>89</v>
      </c>
      <c r="E130" s="20" t="s">
        <v>18</v>
      </c>
      <c r="F130" s="10" t="str">
        <f t="shared" si="27"/>
        <v>24EPECONOMY</v>
      </c>
      <c r="G130" s="12">
        <v>23.042249999999999</v>
      </c>
      <c r="H130" s="12">
        <v>21.192599999999999</v>
      </c>
      <c r="I130" s="12">
        <v>19.322049999999997</v>
      </c>
      <c r="J130" s="12">
        <v>18.705499999999997</v>
      </c>
      <c r="K130" s="12">
        <v>18.078499999999998</v>
      </c>
      <c r="M130" s="12">
        <f t="shared" si="21"/>
        <v>11.51</v>
      </c>
      <c r="O130" s="12" t="e">
        <f>#REF!</f>
        <v>#REF!</v>
      </c>
      <c r="P130" s="12" t="e">
        <f>#REF!</f>
        <v>#REF!</v>
      </c>
      <c r="Q130" s="12" t="e">
        <f>#REF!</f>
        <v>#REF!</v>
      </c>
      <c r="R130" s="12" t="e">
        <f>#REF!</f>
        <v>#REF!</v>
      </c>
      <c r="S130" s="12" t="e">
        <f>#REF!</f>
        <v>#REF!</v>
      </c>
      <c r="U130" s="12" t="e">
        <f>#REF!</f>
        <v>#REF!</v>
      </c>
      <c r="W130" s="12" t="e">
        <f t="shared" si="22"/>
        <v>#REF!</v>
      </c>
      <c r="X130" s="12" t="e">
        <f t="shared" si="23"/>
        <v>#REF!</v>
      </c>
      <c r="Y130" s="12" t="e">
        <f t="shared" si="24"/>
        <v>#REF!</v>
      </c>
      <c r="Z130" s="12" t="e">
        <f t="shared" si="25"/>
        <v>#REF!</v>
      </c>
      <c r="AA130" s="12" t="e">
        <f t="shared" si="26"/>
        <v>#REF!</v>
      </c>
    </row>
    <row r="131" spans="2:27" x14ac:dyDescent="0.2">
      <c r="B131" s="9">
        <v>25</v>
      </c>
      <c r="C131" s="9" t="s">
        <v>37</v>
      </c>
      <c r="D131" s="10" t="s">
        <v>89</v>
      </c>
      <c r="E131" s="20" t="s">
        <v>18</v>
      </c>
      <c r="F131" s="10" t="str">
        <f t="shared" si="27"/>
        <v>25EPECONOMY</v>
      </c>
      <c r="G131" s="12">
        <v>27.629799999999999</v>
      </c>
      <c r="H131" s="12">
        <v>25.884649999999997</v>
      </c>
      <c r="I131" s="12">
        <v>23.543849999999999</v>
      </c>
      <c r="J131" s="12">
        <v>22.9482</v>
      </c>
      <c r="K131" s="12">
        <v>22.362999999999996</v>
      </c>
      <c r="M131" s="12">
        <f t="shared" si="21"/>
        <v>11.51</v>
      </c>
      <c r="O131" s="12" t="e">
        <f>#REF!</f>
        <v>#REF!</v>
      </c>
      <c r="P131" s="12" t="e">
        <f>#REF!</f>
        <v>#REF!</v>
      </c>
      <c r="Q131" s="12" t="e">
        <f>#REF!</f>
        <v>#REF!</v>
      </c>
      <c r="R131" s="12" t="e">
        <f>#REF!</f>
        <v>#REF!</v>
      </c>
      <c r="S131" s="12" t="e">
        <f>#REF!</f>
        <v>#REF!</v>
      </c>
      <c r="U131" s="12" t="e">
        <f>#REF!</f>
        <v>#REF!</v>
      </c>
      <c r="W131" s="12" t="e">
        <f t="shared" si="22"/>
        <v>#REF!</v>
      </c>
      <c r="X131" s="12" t="e">
        <f t="shared" si="23"/>
        <v>#REF!</v>
      </c>
      <c r="Y131" s="12" t="e">
        <f t="shared" si="24"/>
        <v>#REF!</v>
      </c>
      <c r="Z131" s="12" t="e">
        <f t="shared" si="25"/>
        <v>#REF!</v>
      </c>
      <c r="AA131" s="12" t="e">
        <f t="shared" si="26"/>
        <v>#REF!</v>
      </c>
    </row>
    <row r="132" spans="2:27" x14ac:dyDescent="0.2">
      <c r="B132" s="9">
        <v>26</v>
      </c>
      <c r="C132" s="9" t="s">
        <v>37</v>
      </c>
      <c r="D132" s="10" t="s">
        <v>89</v>
      </c>
      <c r="E132" s="20" t="s">
        <v>18</v>
      </c>
      <c r="F132" s="10" t="str">
        <f t="shared" si="27"/>
        <v>26EPECONOMY</v>
      </c>
      <c r="G132" s="12">
        <v>30.336349999999999</v>
      </c>
      <c r="H132" s="12">
        <v>28.5703</v>
      </c>
      <c r="I132" s="12">
        <v>26.229499999999998</v>
      </c>
      <c r="J132" s="12">
        <v>25.644299999999998</v>
      </c>
      <c r="K132" s="12">
        <v>25.059099999999997</v>
      </c>
      <c r="M132" s="12">
        <f t="shared" si="21"/>
        <v>11.51</v>
      </c>
      <c r="O132" s="12" t="e">
        <f>#REF!</f>
        <v>#REF!</v>
      </c>
      <c r="P132" s="12" t="e">
        <f>#REF!</f>
        <v>#REF!</v>
      </c>
      <c r="Q132" s="12" t="e">
        <f>#REF!</f>
        <v>#REF!</v>
      </c>
      <c r="R132" s="12" t="e">
        <f>#REF!</f>
        <v>#REF!</v>
      </c>
      <c r="S132" s="12" t="e">
        <f>#REF!</f>
        <v>#REF!</v>
      </c>
      <c r="U132" s="12" t="e">
        <f>#REF!</f>
        <v>#REF!</v>
      </c>
      <c r="W132" s="12" t="e">
        <f t="shared" si="22"/>
        <v>#REF!</v>
      </c>
      <c r="X132" s="12" t="e">
        <f t="shared" si="23"/>
        <v>#REF!</v>
      </c>
      <c r="Y132" s="12" t="e">
        <f t="shared" si="24"/>
        <v>#REF!</v>
      </c>
      <c r="Z132" s="12" t="e">
        <f t="shared" si="25"/>
        <v>#REF!</v>
      </c>
      <c r="AA132" s="12" t="e">
        <f t="shared" si="26"/>
        <v>#REF!</v>
      </c>
    </row>
    <row r="133" spans="2:27" ht="14.25" customHeight="1" x14ac:dyDescent="0.2">
      <c r="B133" s="9">
        <v>27</v>
      </c>
      <c r="C133" s="9" t="s">
        <v>37</v>
      </c>
      <c r="D133" s="10" t="s">
        <v>89</v>
      </c>
      <c r="E133" s="20" t="s">
        <v>18</v>
      </c>
      <c r="F133" s="10" t="str">
        <f t="shared" si="27"/>
        <v>27EPECONOMY</v>
      </c>
      <c r="G133" s="12">
        <v>122.48444999999998</v>
      </c>
      <c r="H133" s="12">
        <v>119.16135</v>
      </c>
      <c r="I133" s="12">
        <v>116.9355</v>
      </c>
      <c r="J133" s="12">
        <v>112.50469999999999</v>
      </c>
      <c r="K133" s="12">
        <v>110.2893</v>
      </c>
      <c r="M133" s="12">
        <f t="shared" si="21"/>
        <v>11.51</v>
      </c>
      <c r="O133" s="12" t="e">
        <f>#REF!</f>
        <v>#REF!</v>
      </c>
      <c r="P133" s="12" t="e">
        <f>#REF!</f>
        <v>#REF!</v>
      </c>
      <c r="Q133" s="12" t="e">
        <f>#REF!</f>
        <v>#REF!</v>
      </c>
      <c r="R133" s="12" t="e">
        <f>#REF!</f>
        <v>#REF!</v>
      </c>
      <c r="S133" s="12" t="e">
        <f>#REF!</f>
        <v>#REF!</v>
      </c>
      <c r="U133" s="12" t="e">
        <f>#REF!</f>
        <v>#REF!</v>
      </c>
      <c r="W133" s="12" t="e">
        <f t="shared" si="22"/>
        <v>#REF!</v>
      </c>
      <c r="X133" s="12" t="e">
        <f t="shared" si="23"/>
        <v>#REF!</v>
      </c>
      <c r="Y133" s="12" t="e">
        <f t="shared" si="24"/>
        <v>#REF!</v>
      </c>
      <c r="Z133" s="12" t="e">
        <f t="shared" si="25"/>
        <v>#REF!</v>
      </c>
      <c r="AA133" s="12" t="e">
        <f t="shared" si="26"/>
        <v>#REF!</v>
      </c>
    </row>
    <row r="134" spans="2:27" x14ac:dyDescent="0.2">
      <c r="B134" s="9">
        <v>28</v>
      </c>
      <c r="C134" s="9" t="s">
        <v>37</v>
      </c>
      <c r="D134" s="10" t="s">
        <v>89</v>
      </c>
      <c r="E134" s="20" t="s">
        <v>18</v>
      </c>
      <c r="F134" s="10" t="str">
        <f t="shared" si="27"/>
        <v>28EPECONOMY</v>
      </c>
      <c r="G134" s="12">
        <v>128.58724999999998</v>
      </c>
      <c r="H134" s="12">
        <v>125.80754999999999</v>
      </c>
      <c r="I134" s="12">
        <v>122.48444999999998</v>
      </c>
      <c r="J134" s="12">
        <v>114.72009999999999</v>
      </c>
      <c r="K134" s="12">
        <v>112.50469999999999</v>
      </c>
      <c r="M134" s="12">
        <f t="shared" ref="M134:M197" si="40">VLOOKUP(C134,$AG$5:$AL$9,6,FALSE)</f>
        <v>11.51</v>
      </c>
      <c r="O134" s="12" t="e">
        <f>#REF!</f>
        <v>#REF!</v>
      </c>
      <c r="P134" s="12" t="e">
        <f>#REF!</f>
        <v>#REF!</v>
      </c>
      <c r="Q134" s="12" t="e">
        <f>#REF!</f>
        <v>#REF!</v>
      </c>
      <c r="R134" s="12" t="e">
        <f>#REF!</f>
        <v>#REF!</v>
      </c>
      <c r="S134" s="12" t="e">
        <f>#REF!</f>
        <v>#REF!</v>
      </c>
      <c r="U134" s="12" t="e">
        <f>#REF!</f>
        <v>#REF!</v>
      </c>
      <c r="W134" s="12" t="e">
        <f t="shared" si="22"/>
        <v>#REF!</v>
      </c>
      <c r="X134" s="12" t="e">
        <f t="shared" si="23"/>
        <v>#REF!</v>
      </c>
      <c r="Y134" s="12" t="e">
        <f t="shared" si="24"/>
        <v>#REF!</v>
      </c>
      <c r="Z134" s="12" t="e">
        <f t="shared" si="25"/>
        <v>#REF!</v>
      </c>
      <c r="AA134" s="12" t="e">
        <f t="shared" si="26"/>
        <v>#REF!</v>
      </c>
    </row>
    <row r="135" spans="2:27" x14ac:dyDescent="0.2">
      <c r="B135" s="9">
        <v>31</v>
      </c>
      <c r="C135" s="9" t="s">
        <v>46</v>
      </c>
      <c r="D135" s="10" t="s">
        <v>89</v>
      </c>
      <c r="E135" s="20" t="s">
        <v>18</v>
      </c>
      <c r="F135" s="10" t="str">
        <f t="shared" si="27"/>
        <v>31EPECONOMY</v>
      </c>
      <c r="G135" s="13">
        <v>13.940299999999999</v>
      </c>
      <c r="H135" s="13">
        <v>12.174249999999999</v>
      </c>
      <c r="I135" s="13">
        <v>11.014299999999999</v>
      </c>
      <c r="J135" s="13">
        <v>10.4291</v>
      </c>
      <c r="K135" s="13">
        <v>9.8334499999999991</v>
      </c>
      <c r="M135" s="13">
        <f t="shared" si="40"/>
        <v>10.81</v>
      </c>
      <c r="O135" s="13" t="e">
        <f>#REF!</f>
        <v>#REF!</v>
      </c>
      <c r="P135" s="13" t="e">
        <f>#REF!</f>
        <v>#REF!</v>
      </c>
      <c r="Q135" s="13" t="e">
        <f>#REF!</f>
        <v>#REF!</v>
      </c>
      <c r="R135" s="13" t="e">
        <f>#REF!</f>
        <v>#REF!</v>
      </c>
      <c r="S135" s="13" t="e">
        <f>#REF!</f>
        <v>#REF!</v>
      </c>
      <c r="U135" s="13" t="e">
        <f>#REF!</f>
        <v>#REF!</v>
      </c>
      <c r="W135" s="13" t="e">
        <f t="shared" si="22"/>
        <v>#REF!</v>
      </c>
      <c r="X135" s="13" t="e">
        <f t="shared" si="23"/>
        <v>#REF!</v>
      </c>
      <c r="Y135" s="13" t="e">
        <f t="shared" si="24"/>
        <v>#REF!</v>
      </c>
      <c r="Z135" s="13" t="e">
        <f t="shared" si="25"/>
        <v>#REF!</v>
      </c>
      <c r="AA135" s="13" t="e">
        <f t="shared" si="26"/>
        <v>#REF!</v>
      </c>
    </row>
    <row r="136" spans="2:27" x14ac:dyDescent="0.2">
      <c r="B136" s="9">
        <v>32</v>
      </c>
      <c r="C136" s="9" t="s">
        <v>46</v>
      </c>
      <c r="D136" s="10" t="s">
        <v>89</v>
      </c>
      <c r="E136" s="20" t="s">
        <v>18</v>
      </c>
      <c r="F136" s="10" t="str">
        <f t="shared" si="27"/>
        <v>32EPECONOMY</v>
      </c>
      <c r="G136" s="13">
        <v>17.8904</v>
      </c>
      <c r="H136" s="13">
        <v>15.925799999999999</v>
      </c>
      <c r="I136" s="13">
        <v>14.7136</v>
      </c>
      <c r="J136" s="13">
        <v>14.107499999999998</v>
      </c>
      <c r="K136" s="13">
        <v>13.49095</v>
      </c>
      <c r="M136" s="13">
        <f t="shared" si="40"/>
        <v>10.81</v>
      </c>
      <c r="O136" s="13" t="e">
        <f>#REF!</f>
        <v>#REF!</v>
      </c>
      <c r="P136" s="13" t="e">
        <f>#REF!</f>
        <v>#REF!</v>
      </c>
      <c r="Q136" s="13" t="e">
        <f>#REF!</f>
        <v>#REF!</v>
      </c>
      <c r="R136" s="13" t="e">
        <f>#REF!</f>
        <v>#REF!</v>
      </c>
      <c r="S136" s="13" t="e">
        <f>#REF!</f>
        <v>#REF!</v>
      </c>
      <c r="U136" s="13" t="e">
        <f>#REF!</f>
        <v>#REF!</v>
      </c>
      <c r="W136" s="13" t="e">
        <f t="shared" si="22"/>
        <v>#REF!</v>
      </c>
      <c r="X136" s="13" t="e">
        <f t="shared" si="23"/>
        <v>#REF!</v>
      </c>
      <c r="Y136" s="13" t="e">
        <f t="shared" si="24"/>
        <v>#REF!</v>
      </c>
      <c r="Z136" s="13" t="e">
        <f t="shared" si="25"/>
        <v>#REF!</v>
      </c>
      <c r="AA136" s="13" t="e">
        <f t="shared" si="26"/>
        <v>#REF!</v>
      </c>
    </row>
    <row r="137" spans="2:27" x14ac:dyDescent="0.2">
      <c r="B137" s="9">
        <v>33</v>
      </c>
      <c r="C137" s="9" t="s">
        <v>46</v>
      </c>
      <c r="D137" s="10" t="s">
        <v>89</v>
      </c>
      <c r="E137" s="20" t="s">
        <v>18</v>
      </c>
      <c r="F137" s="10" t="str">
        <f t="shared" si="27"/>
        <v>33EPECONOMY</v>
      </c>
      <c r="G137" s="13">
        <v>21.046299999999999</v>
      </c>
      <c r="H137" s="13">
        <v>19.248899999999999</v>
      </c>
      <c r="I137" s="13">
        <v>18.047149999999998</v>
      </c>
      <c r="J137" s="13">
        <v>17.451499999999999</v>
      </c>
      <c r="K137" s="13">
        <v>16.845400000000001</v>
      </c>
      <c r="M137" s="13">
        <f t="shared" si="40"/>
        <v>10.81</v>
      </c>
      <c r="O137" s="13" t="e">
        <f>#REF!</f>
        <v>#REF!</v>
      </c>
      <c r="P137" s="13" t="e">
        <f>#REF!</f>
        <v>#REF!</v>
      </c>
      <c r="Q137" s="13" t="e">
        <f>#REF!</f>
        <v>#REF!</v>
      </c>
      <c r="R137" s="13" t="e">
        <f>#REF!</f>
        <v>#REF!</v>
      </c>
      <c r="S137" s="13" t="e">
        <f>#REF!</f>
        <v>#REF!</v>
      </c>
      <c r="U137" s="13" t="e">
        <f>#REF!</f>
        <v>#REF!</v>
      </c>
      <c r="W137" s="13" t="e">
        <f t="shared" si="22"/>
        <v>#REF!</v>
      </c>
      <c r="X137" s="13" t="e">
        <f t="shared" si="23"/>
        <v>#REF!</v>
      </c>
      <c r="Y137" s="13" t="e">
        <f t="shared" si="24"/>
        <v>#REF!</v>
      </c>
      <c r="Z137" s="13" t="e">
        <f t="shared" si="25"/>
        <v>#REF!</v>
      </c>
      <c r="AA137" s="13" t="e">
        <f t="shared" si="26"/>
        <v>#REF!</v>
      </c>
    </row>
    <row r="138" spans="2:27" x14ac:dyDescent="0.2">
      <c r="B138" s="9">
        <v>34</v>
      </c>
      <c r="C138" s="9" t="s">
        <v>46</v>
      </c>
      <c r="D138" s="10" t="s">
        <v>89</v>
      </c>
      <c r="E138" s="20" t="s">
        <v>18</v>
      </c>
      <c r="F138" s="10" t="str">
        <f t="shared" si="27"/>
        <v>34EPECONOMY</v>
      </c>
      <c r="G138" s="13">
        <v>24.338049999999999</v>
      </c>
      <c r="H138" s="13">
        <v>22.467499999999998</v>
      </c>
      <c r="I138" s="13">
        <v>21.223949999999999</v>
      </c>
      <c r="J138" s="13">
        <v>20.607399999999998</v>
      </c>
      <c r="K138" s="13">
        <v>19.980399999999999</v>
      </c>
      <c r="M138" s="13">
        <f t="shared" si="40"/>
        <v>10.81</v>
      </c>
      <c r="O138" s="13" t="e">
        <f>#REF!</f>
        <v>#REF!</v>
      </c>
      <c r="P138" s="13" t="e">
        <f>#REF!</f>
        <v>#REF!</v>
      </c>
      <c r="Q138" s="13" t="e">
        <f>#REF!</f>
        <v>#REF!</v>
      </c>
      <c r="R138" s="13" t="e">
        <f>#REF!</f>
        <v>#REF!</v>
      </c>
      <c r="S138" s="13" t="e">
        <f>#REF!</f>
        <v>#REF!</v>
      </c>
      <c r="U138" s="13" t="e">
        <f>#REF!</f>
        <v>#REF!</v>
      </c>
      <c r="W138" s="13" t="e">
        <f t="shared" si="22"/>
        <v>#REF!</v>
      </c>
      <c r="X138" s="13" t="e">
        <f t="shared" si="23"/>
        <v>#REF!</v>
      </c>
      <c r="Y138" s="13" t="e">
        <f t="shared" si="24"/>
        <v>#REF!</v>
      </c>
      <c r="Z138" s="13" t="e">
        <f t="shared" si="25"/>
        <v>#REF!</v>
      </c>
      <c r="AA138" s="13" t="e">
        <f t="shared" si="26"/>
        <v>#REF!</v>
      </c>
    </row>
    <row r="139" spans="2:27" x14ac:dyDescent="0.2">
      <c r="B139" s="9">
        <v>35</v>
      </c>
      <c r="C139" s="9" t="s">
        <v>46</v>
      </c>
      <c r="D139" s="10" t="s">
        <v>89</v>
      </c>
      <c r="E139" s="20" t="s">
        <v>18</v>
      </c>
      <c r="F139" s="10" t="str">
        <f t="shared" si="27"/>
        <v>35EPECONOMY</v>
      </c>
      <c r="G139" s="13">
        <v>26.689299999999996</v>
      </c>
      <c r="H139" s="13">
        <v>24.870999999999999</v>
      </c>
      <c r="I139" s="13">
        <v>23.669249999999998</v>
      </c>
      <c r="J139" s="13">
        <v>23.06315</v>
      </c>
      <c r="K139" s="13">
        <v>22.457049999999995</v>
      </c>
      <c r="M139" s="13">
        <f t="shared" si="40"/>
        <v>10.81</v>
      </c>
      <c r="O139" s="13" t="e">
        <f>#REF!</f>
        <v>#REF!</v>
      </c>
      <c r="P139" s="13" t="e">
        <f>#REF!</f>
        <v>#REF!</v>
      </c>
      <c r="Q139" s="13" t="e">
        <f>#REF!</f>
        <v>#REF!</v>
      </c>
      <c r="R139" s="13" t="e">
        <f>#REF!</f>
        <v>#REF!</v>
      </c>
      <c r="S139" s="13" t="e">
        <f>#REF!</f>
        <v>#REF!</v>
      </c>
      <c r="U139" s="13" t="e">
        <f>#REF!</f>
        <v>#REF!</v>
      </c>
      <c r="W139" s="13" t="e">
        <f t="shared" si="22"/>
        <v>#REF!</v>
      </c>
      <c r="X139" s="13" t="e">
        <f t="shared" si="23"/>
        <v>#REF!</v>
      </c>
      <c r="Y139" s="13" t="e">
        <f t="shared" si="24"/>
        <v>#REF!</v>
      </c>
      <c r="Z139" s="13" t="e">
        <f t="shared" si="25"/>
        <v>#REF!</v>
      </c>
      <c r="AA139" s="13" t="e">
        <f t="shared" si="26"/>
        <v>#REF!</v>
      </c>
    </row>
    <row r="140" spans="2:27" x14ac:dyDescent="0.2">
      <c r="B140" s="9">
        <v>41</v>
      </c>
      <c r="C140" s="9" t="s">
        <v>38</v>
      </c>
      <c r="D140" s="10" t="s">
        <v>89</v>
      </c>
      <c r="E140" s="20" t="s">
        <v>18</v>
      </c>
      <c r="F140" s="10" t="str">
        <f t="shared" si="27"/>
        <v>41EPECONOMY</v>
      </c>
      <c r="G140" s="14">
        <v>15.759</v>
      </c>
      <c r="H140" s="14">
        <v>14.178000000000001</v>
      </c>
      <c r="I140" s="14">
        <v>13.106999999999999</v>
      </c>
      <c r="J140" s="14">
        <v>12.546000000000001</v>
      </c>
      <c r="K140" s="14">
        <v>12.138</v>
      </c>
      <c r="M140" s="14">
        <f t="shared" si="40"/>
        <v>9.76</v>
      </c>
      <c r="O140" s="14" t="e">
        <f>#REF!</f>
        <v>#REF!</v>
      </c>
      <c r="P140" s="14" t="e">
        <f>#REF!</f>
        <v>#REF!</v>
      </c>
      <c r="Q140" s="14" t="e">
        <f>#REF!</f>
        <v>#REF!</v>
      </c>
      <c r="R140" s="14" t="e">
        <f>#REF!</f>
        <v>#REF!</v>
      </c>
      <c r="S140" s="14" t="e">
        <f>#REF!</f>
        <v>#REF!</v>
      </c>
      <c r="U140" s="14" t="e">
        <f>#REF!</f>
        <v>#REF!</v>
      </c>
      <c r="W140" s="14" t="e">
        <f t="shared" si="22"/>
        <v>#REF!</v>
      </c>
      <c r="X140" s="14" t="e">
        <f t="shared" si="23"/>
        <v>#REF!</v>
      </c>
      <c r="Y140" s="14" t="e">
        <f t="shared" si="24"/>
        <v>#REF!</v>
      </c>
      <c r="Z140" s="14" t="e">
        <f t="shared" si="25"/>
        <v>#REF!</v>
      </c>
      <c r="AA140" s="14" t="e">
        <f t="shared" si="26"/>
        <v>#REF!</v>
      </c>
    </row>
    <row r="141" spans="2:27" x14ac:dyDescent="0.2">
      <c r="B141" s="9">
        <v>42</v>
      </c>
      <c r="C141" s="9" t="s">
        <v>38</v>
      </c>
      <c r="D141" s="10" t="s">
        <v>89</v>
      </c>
      <c r="E141" s="20" t="s">
        <v>18</v>
      </c>
      <c r="F141" s="10" t="str">
        <f t="shared" si="27"/>
        <v>42EPECONOMY</v>
      </c>
      <c r="G141" s="14">
        <v>18.105</v>
      </c>
      <c r="H141" s="14">
        <v>16.422000000000001</v>
      </c>
      <c r="I141" s="14">
        <v>15.351000000000001</v>
      </c>
      <c r="J141" s="14">
        <v>14.790000000000001</v>
      </c>
      <c r="K141" s="14">
        <v>14.382</v>
      </c>
      <c r="M141" s="14">
        <f t="shared" si="40"/>
        <v>9.76</v>
      </c>
      <c r="O141" s="14" t="e">
        <f>#REF!</f>
        <v>#REF!</v>
      </c>
      <c r="P141" s="14" t="e">
        <f>#REF!</f>
        <v>#REF!</v>
      </c>
      <c r="Q141" s="14" t="e">
        <f>#REF!</f>
        <v>#REF!</v>
      </c>
      <c r="R141" s="14" t="e">
        <f>#REF!</f>
        <v>#REF!</v>
      </c>
      <c r="S141" s="14" t="e">
        <f>#REF!</f>
        <v>#REF!</v>
      </c>
      <c r="U141" s="14" t="e">
        <f>#REF!</f>
        <v>#REF!</v>
      </c>
      <c r="W141" s="14" t="e">
        <f t="shared" si="22"/>
        <v>#REF!</v>
      </c>
      <c r="X141" s="14" t="e">
        <f t="shared" si="23"/>
        <v>#REF!</v>
      </c>
      <c r="Y141" s="14" t="e">
        <f t="shared" si="24"/>
        <v>#REF!</v>
      </c>
      <c r="Z141" s="14" t="e">
        <f t="shared" si="25"/>
        <v>#REF!</v>
      </c>
      <c r="AA141" s="14" t="e">
        <f t="shared" si="26"/>
        <v>#REF!</v>
      </c>
    </row>
    <row r="142" spans="2:27" x14ac:dyDescent="0.2">
      <c r="B142" s="9">
        <v>43</v>
      </c>
      <c r="C142" s="9" t="s">
        <v>38</v>
      </c>
      <c r="D142" s="10" t="s">
        <v>89</v>
      </c>
      <c r="E142" s="20" t="s">
        <v>18</v>
      </c>
      <c r="F142" s="10" t="str">
        <f t="shared" si="27"/>
        <v>43EPECONOMY</v>
      </c>
      <c r="G142" s="14">
        <v>20.858999999999998</v>
      </c>
      <c r="H142" s="14">
        <v>19.277999999999999</v>
      </c>
      <c r="I142" s="14">
        <v>18.207000000000001</v>
      </c>
      <c r="J142" s="14">
        <v>17.646000000000001</v>
      </c>
      <c r="K142" s="14">
        <v>17.238</v>
      </c>
      <c r="M142" s="14">
        <f t="shared" si="40"/>
        <v>9.76</v>
      </c>
      <c r="O142" s="14" t="e">
        <f>#REF!</f>
        <v>#REF!</v>
      </c>
      <c r="P142" s="14" t="e">
        <f>#REF!</f>
        <v>#REF!</v>
      </c>
      <c r="Q142" s="14" t="e">
        <f>#REF!</f>
        <v>#REF!</v>
      </c>
      <c r="R142" s="14" t="e">
        <f>#REF!</f>
        <v>#REF!</v>
      </c>
      <c r="S142" s="14" t="e">
        <f>#REF!</f>
        <v>#REF!</v>
      </c>
      <c r="U142" s="14" t="e">
        <f>#REF!</f>
        <v>#REF!</v>
      </c>
      <c r="W142" s="14" t="e">
        <f t="shared" ref="W142:W209" si="41">G142+$M142+O142+$U142</f>
        <v>#REF!</v>
      </c>
      <c r="X142" s="14" t="e">
        <f t="shared" ref="X142:X209" si="42">H142+$M142+P142+$U142</f>
        <v>#REF!</v>
      </c>
      <c r="Y142" s="14" t="e">
        <f t="shared" ref="Y142:Y209" si="43">I142+$M142+Q142+$U142</f>
        <v>#REF!</v>
      </c>
      <c r="Z142" s="14" t="e">
        <f t="shared" ref="Z142:Z209" si="44">J142+$M142+R142+$U142</f>
        <v>#REF!</v>
      </c>
      <c r="AA142" s="14" t="e">
        <f t="shared" ref="AA142:AA209" si="45">K142+$M142+S142+$U142</f>
        <v>#REF!</v>
      </c>
    </row>
    <row r="143" spans="2:27" x14ac:dyDescent="0.2">
      <c r="B143" s="9">
        <v>44</v>
      </c>
      <c r="C143" s="9" t="s">
        <v>38</v>
      </c>
      <c r="D143" s="10" t="s">
        <v>89</v>
      </c>
      <c r="E143" s="20" t="s">
        <v>18</v>
      </c>
      <c r="F143" s="10" t="str">
        <f t="shared" si="27"/>
        <v>44EPECONOMY</v>
      </c>
      <c r="G143" s="14">
        <v>101.14319999999999</v>
      </c>
      <c r="H143" s="14">
        <v>98.021999999999991</v>
      </c>
      <c r="I143" s="14">
        <v>95.941200000000009</v>
      </c>
      <c r="J143" s="14">
        <v>91.779600000000002</v>
      </c>
      <c r="K143" s="14">
        <v>89.698800000000006</v>
      </c>
      <c r="M143" s="14">
        <f t="shared" si="40"/>
        <v>9.76</v>
      </c>
      <c r="O143" s="14" t="e">
        <f>#REF!</f>
        <v>#REF!</v>
      </c>
      <c r="P143" s="14" t="e">
        <f>#REF!</f>
        <v>#REF!</v>
      </c>
      <c r="Q143" s="14" t="e">
        <f>#REF!</f>
        <v>#REF!</v>
      </c>
      <c r="R143" s="14" t="e">
        <f>#REF!</f>
        <v>#REF!</v>
      </c>
      <c r="S143" s="14" t="e">
        <f>#REF!</f>
        <v>#REF!</v>
      </c>
      <c r="U143" s="14" t="e">
        <f>#REF!</f>
        <v>#REF!</v>
      </c>
      <c r="W143" s="14" t="e">
        <f t="shared" si="41"/>
        <v>#REF!</v>
      </c>
      <c r="X143" s="14" t="e">
        <f t="shared" si="42"/>
        <v>#REF!</v>
      </c>
      <c r="Y143" s="14" t="e">
        <f t="shared" si="43"/>
        <v>#REF!</v>
      </c>
      <c r="Z143" s="14" t="e">
        <f t="shared" si="44"/>
        <v>#REF!</v>
      </c>
      <c r="AA143" s="14" t="e">
        <f t="shared" si="45"/>
        <v>#REF!</v>
      </c>
    </row>
    <row r="144" spans="2:27" x14ac:dyDescent="0.2">
      <c r="B144" s="9">
        <v>45</v>
      </c>
      <c r="C144" s="9" t="s">
        <v>38</v>
      </c>
      <c r="D144" s="10" t="s">
        <v>89</v>
      </c>
      <c r="E144" s="20" t="s">
        <v>18</v>
      </c>
      <c r="F144" s="10" t="str">
        <f t="shared" si="27"/>
        <v>45EPECONOMY</v>
      </c>
      <c r="G144" s="14">
        <v>106.86539999999999</v>
      </c>
      <c r="H144" s="14">
        <v>104.26439999999999</v>
      </c>
      <c r="I144" s="14">
        <v>101.14319999999999</v>
      </c>
      <c r="J144" s="14">
        <v>93.860399999999998</v>
      </c>
      <c r="K144" s="14">
        <v>91.779600000000002</v>
      </c>
      <c r="M144" s="14">
        <f t="shared" si="40"/>
        <v>9.76</v>
      </c>
      <c r="O144" s="14" t="e">
        <f>#REF!</f>
        <v>#REF!</v>
      </c>
      <c r="P144" s="14" t="e">
        <f>#REF!</f>
        <v>#REF!</v>
      </c>
      <c r="Q144" s="14" t="e">
        <f>#REF!</f>
        <v>#REF!</v>
      </c>
      <c r="R144" s="14" t="e">
        <f>#REF!</f>
        <v>#REF!</v>
      </c>
      <c r="S144" s="14" t="e">
        <f>#REF!</f>
        <v>#REF!</v>
      </c>
      <c r="U144" s="14" t="e">
        <f>#REF!</f>
        <v>#REF!</v>
      </c>
      <c r="W144" s="14" t="e">
        <f t="shared" si="41"/>
        <v>#REF!</v>
      </c>
      <c r="X144" s="14" t="e">
        <f t="shared" si="42"/>
        <v>#REF!</v>
      </c>
      <c r="Y144" s="14" t="e">
        <f t="shared" si="43"/>
        <v>#REF!</v>
      </c>
      <c r="Z144" s="14" t="e">
        <f t="shared" si="44"/>
        <v>#REF!</v>
      </c>
      <c r="AA144" s="14" t="e">
        <f t="shared" si="45"/>
        <v>#REF!</v>
      </c>
    </row>
    <row r="145" spans="2:27" x14ac:dyDescent="0.2">
      <c r="B145" s="9">
        <v>51</v>
      </c>
      <c r="C145" s="9" t="s">
        <v>39</v>
      </c>
      <c r="D145" s="10" t="s">
        <v>89</v>
      </c>
      <c r="E145" s="20" t="s">
        <v>18</v>
      </c>
      <c r="F145" s="10" t="str">
        <f t="shared" si="27"/>
        <v>51EPECONOMY</v>
      </c>
      <c r="G145" s="18">
        <v>15.759</v>
      </c>
      <c r="H145" s="18">
        <v>14.178000000000001</v>
      </c>
      <c r="I145" s="18">
        <v>13.106999999999999</v>
      </c>
      <c r="J145" s="18">
        <v>12.546000000000001</v>
      </c>
      <c r="K145" s="18">
        <v>12.138</v>
      </c>
      <c r="M145" s="18">
        <f t="shared" si="40"/>
        <v>9.76</v>
      </c>
      <c r="O145" s="18" t="e">
        <f>#REF!</f>
        <v>#REF!</v>
      </c>
      <c r="P145" s="18" t="e">
        <f>#REF!</f>
        <v>#REF!</v>
      </c>
      <c r="Q145" s="18" t="e">
        <f>#REF!</f>
        <v>#REF!</v>
      </c>
      <c r="R145" s="18" t="e">
        <f>#REF!</f>
        <v>#REF!</v>
      </c>
      <c r="S145" s="18" t="e">
        <f>#REF!</f>
        <v>#REF!</v>
      </c>
      <c r="U145" s="18" t="e">
        <f>#REF!</f>
        <v>#REF!</v>
      </c>
      <c r="W145" s="18" t="e">
        <f t="shared" si="41"/>
        <v>#REF!</v>
      </c>
      <c r="X145" s="18" t="e">
        <f t="shared" si="42"/>
        <v>#REF!</v>
      </c>
      <c r="Y145" s="18" t="e">
        <f t="shared" si="43"/>
        <v>#REF!</v>
      </c>
      <c r="Z145" s="18" t="e">
        <f t="shared" si="44"/>
        <v>#REF!</v>
      </c>
      <c r="AA145" s="18" t="e">
        <f t="shared" si="45"/>
        <v>#REF!</v>
      </c>
    </row>
    <row r="146" spans="2:27" x14ac:dyDescent="0.2">
      <c r="B146" s="9">
        <v>52</v>
      </c>
      <c r="C146" s="9" t="s">
        <v>39</v>
      </c>
      <c r="D146" s="10" t="s">
        <v>89</v>
      </c>
      <c r="E146" s="20" t="s">
        <v>18</v>
      </c>
      <c r="F146" s="10" t="str">
        <f t="shared" si="27"/>
        <v>52EPECONOMY</v>
      </c>
      <c r="G146" s="18">
        <v>18.105</v>
      </c>
      <c r="H146" s="18">
        <v>16.422000000000001</v>
      </c>
      <c r="I146" s="18">
        <v>15.351000000000001</v>
      </c>
      <c r="J146" s="18">
        <v>14.790000000000001</v>
      </c>
      <c r="K146" s="18">
        <v>14.382</v>
      </c>
      <c r="M146" s="18">
        <f t="shared" si="40"/>
        <v>9.76</v>
      </c>
      <c r="O146" s="18" t="e">
        <f>#REF!</f>
        <v>#REF!</v>
      </c>
      <c r="P146" s="18" t="e">
        <f>#REF!</f>
        <v>#REF!</v>
      </c>
      <c r="Q146" s="18" t="e">
        <f>#REF!</f>
        <v>#REF!</v>
      </c>
      <c r="R146" s="18" t="e">
        <f>#REF!</f>
        <v>#REF!</v>
      </c>
      <c r="S146" s="18" t="e">
        <f>#REF!</f>
        <v>#REF!</v>
      </c>
      <c r="U146" s="18" t="e">
        <f>#REF!</f>
        <v>#REF!</v>
      </c>
      <c r="W146" s="18" t="e">
        <f t="shared" si="41"/>
        <v>#REF!</v>
      </c>
      <c r="X146" s="18" t="e">
        <f t="shared" si="42"/>
        <v>#REF!</v>
      </c>
      <c r="Y146" s="18" t="e">
        <f t="shared" si="43"/>
        <v>#REF!</v>
      </c>
      <c r="Z146" s="18" t="e">
        <f t="shared" si="44"/>
        <v>#REF!</v>
      </c>
      <c r="AA146" s="18" t="e">
        <f t="shared" si="45"/>
        <v>#REF!</v>
      </c>
    </row>
    <row r="147" spans="2:27" x14ac:dyDescent="0.2">
      <c r="B147" s="9">
        <v>53</v>
      </c>
      <c r="C147" s="9" t="s">
        <v>39</v>
      </c>
      <c r="D147" s="10" t="s">
        <v>89</v>
      </c>
      <c r="E147" s="20" t="s">
        <v>18</v>
      </c>
      <c r="F147" s="10" t="str">
        <f t="shared" si="27"/>
        <v>53EPECONOMY</v>
      </c>
      <c r="G147" s="18">
        <v>20.858999999999998</v>
      </c>
      <c r="H147" s="18">
        <v>19.277999999999999</v>
      </c>
      <c r="I147" s="18">
        <v>18.207000000000001</v>
      </c>
      <c r="J147" s="18">
        <v>17.646000000000001</v>
      </c>
      <c r="K147" s="18">
        <v>17.238</v>
      </c>
      <c r="M147" s="18">
        <f t="shared" si="40"/>
        <v>9.76</v>
      </c>
      <c r="O147" s="18" t="e">
        <f>#REF!</f>
        <v>#REF!</v>
      </c>
      <c r="P147" s="18" t="e">
        <f>#REF!</f>
        <v>#REF!</v>
      </c>
      <c r="Q147" s="18" t="e">
        <f>#REF!</f>
        <v>#REF!</v>
      </c>
      <c r="R147" s="18" t="e">
        <f>#REF!</f>
        <v>#REF!</v>
      </c>
      <c r="S147" s="18" t="e">
        <f>#REF!</f>
        <v>#REF!</v>
      </c>
      <c r="U147" s="18" t="e">
        <f>#REF!</f>
        <v>#REF!</v>
      </c>
      <c r="W147" s="18" t="e">
        <f t="shared" si="41"/>
        <v>#REF!</v>
      </c>
      <c r="X147" s="18" t="e">
        <f t="shared" si="42"/>
        <v>#REF!</v>
      </c>
      <c r="Y147" s="18" t="e">
        <f t="shared" si="43"/>
        <v>#REF!</v>
      </c>
      <c r="Z147" s="18" t="e">
        <f t="shared" si="44"/>
        <v>#REF!</v>
      </c>
      <c r="AA147" s="18" t="e">
        <f t="shared" si="45"/>
        <v>#REF!</v>
      </c>
    </row>
    <row r="148" spans="2:27" x14ac:dyDescent="0.2">
      <c r="B148" s="9">
        <v>54</v>
      </c>
      <c r="C148" s="9" t="s">
        <v>39</v>
      </c>
      <c r="D148" s="10" t="s">
        <v>89</v>
      </c>
      <c r="E148" s="20" t="s">
        <v>18</v>
      </c>
      <c r="F148" s="10" t="str">
        <f t="shared" si="27"/>
        <v>54EPECONOMY</v>
      </c>
      <c r="G148" s="18">
        <v>23.613</v>
      </c>
      <c r="H148" s="18">
        <v>22.134</v>
      </c>
      <c r="I148" s="18">
        <v>21.062999999999999</v>
      </c>
      <c r="J148" s="18">
        <v>20.502000000000002</v>
      </c>
      <c r="K148" s="18">
        <v>20.094000000000001</v>
      </c>
      <c r="M148" s="18">
        <f t="shared" si="40"/>
        <v>9.76</v>
      </c>
      <c r="O148" s="18" t="e">
        <f>#REF!</f>
        <v>#REF!</v>
      </c>
      <c r="P148" s="18" t="e">
        <f>#REF!</f>
        <v>#REF!</v>
      </c>
      <c r="Q148" s="18" t="e">
        <f>#REF!</f>
        <v>#REF!</v>
      </c>
      <c r="R148" s="18" t="e">
        <f>#REF!</f>
        <v>#REF!</v>
      </c>
      <c r="S148" s="18" t="e">
        <f>#REF!</f>
        <v>#REF!</v>
      </c>
      <c r="U148" s="18" t="e">
        <f>#REF!</f>
        <v>#REF!</v>
      </c>
      <c r="W148" s="18" t="e">
        <f t="shared" si="41"/>
        <v>#REF!</v>
      </c>
      <c r="X148" s="18" t="e">
        <f t="shared" si="42"/>
        <v>#REF!</v>
      </c>
      <c r="Y148" s="18" t="e">
        <f t="shared" si="43"/>
        <v>#REF!</v>
      </c>
      <c r="Z148" s="18" t="e">
        <f t="shared" si="44"/>
        <v>#REF!</v>
      </c>
      <c r="AA148" s="18" t="e">
        <f t="shared" si="45"/>
        <v>#REF!</v>
      </c>
    </row>
    <row r="149" spans="2:27" x14ac:dyDescent="0.2">
      <c r="B149" s="9">
        <v>1</v>
      </c>
      <c r="C149" s="9" t="s">
        <v>36</v>
      </c>
      <c r="D149" s="10" t="s">
        <v>21</v>
      </c>
      <c r="E149" s="19" t="s">
        <v>12</v>
      </c>
      <c r="F149" s="10" t="str">
        <f t="shared" si="27"/>
        <v>1ELPPREMIUM</v>
      </c>
      <c r="G149" s="11">
        <v>21.496949999999998</v>
      </c>
      <c r="H149" s="11">
        <v>19.758149999999997</v>
      </c>
      <c r="I149" s="11">
        <v>17.998649999999998</v>
      </c>
      <c r="J149" s="11">
        <v>17.998649999999998</v>
      </c>
      <c r="K149" s="11">
        <v>17.998649999999998</v>
      </c>
      <c r="M149" s="11">
        <f t="shared" si="40"/>
        <v>11.61</v>
      </c>
      <c r="O149" s="11" t="e">
        <f>#REF!</f>
        <v>#REF!</v>
      </c>
      <c r="P149" s="11" t="e">
        <f>#REF!</f>
        <v>#REF!</v>
      </c>
      <c r="Q149" s="11" t="e">
        <f>#REF!</f>
        <v>#REF!</v>
      </c>
      <c r="R149" s="22" t="e">
        <f>Q149</f>
        <v>#REF!</v>
      </c>
      <c r="S149" s="22" t="e">
        <f>R149</f>
        <v>#REF!</v>
      </c>
      <c r="U149" s="11" t="e">
        <f>#REF!</f>
        <v>#REF!</v>
      </c>
      <c r="W149" s="11" t="e">
        <f t="shared" si="41"/>
        <v>#REF!</v>
      </c>
      <c r="X149" s="11" t="e">
        <f t="shared" si="42"/>
        <v>#REF!</v>
      </c>
      <c r="Y149" s="11" t="e">
        <f t="shared" si="43"/>
        <v>#REF!</v>
      </c>
      <c r="Z149" s="11" t="e">
        <f t="shared" si="44"/>
        <v>#REF!</v>
      </c>
      <c r="AA149" s="11" t="e">
        <f t="shared" si="45"/>
        <v>#REF!</v>
      </c>
    </row>
    <row r="150" spans="2:27" x14ac:dyDescent="0.2">
      <c r="B150" s="9">
        <v>2</v>
      </c>
      <c r="C150" s="9" t="s">
        <v>36</v>
      </c>
      <c r="D150" s="10" t="s">
        <v>21</v>
      </c>
      <c r="E150" s="19" t="s">
        <v>12</v>
      </c>
      <c r="F150" s="10" t="str">
        <f t="shared" si="27"/>
        <v>2ELPPREMIUM</v>
      </c>
      <c r="G150" s="11">
        <v>22.666499999999996</v>
      </c>
      <c r="H150" s="11">
        <v>20.917349999999999</v>
      </c>
      <c r="I150" s="11">
        <v>19.168199999999999</v>
      </c>
      <c r="J150" s="11">
        <v>19.168199999999999</v>
      </c>
      <c r="K150" s="11">
        <v>19.168199999999999</v>
      </c>
      <c r="M150" s="11">
        <f t="shared" si="40"/>
        <v>11.61</v>
      </c>
      <c r="O150" s="11" t="e">
        <f>#REF!</f>
        <v>#REF!</v>
      </c>
      <c r="P150" s="11" t="e">
        <f>#REF!</f>
        <v>#REF!</v>
      </c>
      <c r="Q150" s="11" t="e">
        <f>#REF!</f>
        <v>#REF!</v>
      </c>
      <c r="R150" s="22" t="e">
        <f t="shared" ref="R150:S150" si="46">Q150</f>
        <v>#REF!</v>
      </c>
      <c r="S150" s="22" t="e">
        <f t="shared" si="46"/>
        <v>#REF!</v>
      </c>
      <c r="U150" s="11" t="e">
        <f>#REF!</f>
        <v>#REF!</v>
      </c>
      <c r="W150" s="11" t="e">
        <f t="shared" si="41"/>
        <v>#REF!</v>
      </c>
      <c r="X150" s="11" t="e">
        <f t="shared" si="42"/>
        <v>#REF!</v>
      </c>
      <c r="Y150" s="11" t="e">
        <f t="shared" si="43"/>
        <v>#REF!</v>
      </c>
      <c r="Z150" s="11" t="e">
        <f t="shared" si="44"/>
        <v>#REF!</v>
      </c>
      <c r="AA150" s="11" t="e">
        <f t="shared" si="45"/>
        <v>#REF!</v>
      </c>
    </row>
    <row r="151" spans="2:27" x14ac:dyDescent="0.2">
      <c r="B151" s="9">
        <v>3</v>
      </c>
      <c r="C151" s="9" t="s">
        <v>36</v>
      </c>
      <c r="D151" s="10" t="s">
        <v>21</v>
      </c>
      <c r="E151" s="19" t="s">
        <v>12</v>
      </c>
      <c r="F151" s="10" t="str">
        <f t="shared" si="27"/>
        <v>3ELPPREMIUM</v>
      </c>
      <c r="G151" s="11">
        <v>25.761149999999997</v>
      </c>
      <c r="H151" s="11">
        <v>24.001649999999998</v>
      </c>
      <c r="I151" s="11">
        <v>23.432399999999998</v>
      </c>
      <c r="J151" s="11">
        <v>23.432399999999998</v>
      </c>
      <c r="K151" s="11">
        <v>23.432399999999998</v>
      </c>
      <c r="M151" s="11">
        <f t="shared" si="40"/>
        <v>11.61</v>
      </c>
      <c r="O151" s="11" t="e">
        <f>#REF!</f>
        <v>#REF!</v>
      </c>
      <c r="P151" s="11" t="e">
        <f>#REF!</f>
        <v>#REF!</v>
      </c>
      <c r="Q151" s="11" t="e">
        <f>#REF!</f>
        <v>#REF!</v>
      </c>
      <c r="R151" s="22" t="e">
        <f t="shared" ref="R151:S151" si="47">Q151</f>
        <v>#REF!</v>
      </c>
      <c r="S151" s="22" t="e">
        <f t="shared" si="47"/>
        <v>#REF!</v>
      </c>
      <c r="U151" s="11" t="e">
        <f>#REF!</f>
        <v>#REF!</v>
      </c>
      <c r="W151" s="11" t="e">
        <f t="shared" si="41"/>
        <v>#REF!</v>
      </c>
      <c r="X151" s="11" t="e">
        <f t="shared" si="42"/>
        <v>#REF!</v>
      </c>
      <c r="Y151" s="11" t="e">
        <f t="shared" si="43"/>
        <v>#REF!</v>
      </c>
      <c r="Z151" s="11" t="e">
        <f t="shared" si="44"/>
        <v>#REF!</v>
      </c>
      <c r="AA151" s="11" t="e">
        <f t="shared" si="45"/>
        <v>#REF!</v>
      </c>
    </row>
    <row r="152" spans="2:27" x14ac:dyDescent="0.2">
      <c r="B152" s="9">
        <v>4</v>
      </c>
      <c r="C152" s="9" t="s">
        <v>36</v>
      </c>
      <c r="D152" s="10" t="s">
        <v>21</v>
      </c>
      <c r="E152" s="19" t="s">
        <v>12</v>
      </c>
      <c r="F152" s="10" t="str">
        <f t="shared" si="27"/>
        <v>4ELPPREMIUM</v>
      </c>
      <c r="G152" s="11">
        <v>30.998249999999995</v>
      </c>
      <c r="H152" s="11">
        <v>29.259449999999998</v>
      </c>
      <c r="I152" s="11">
        <v>28.669499999999996</v>
      </c>
      <c r="J152" s="11">
        <v>28.669499999999996</v>
      </c>
      <c r="K152" s="11">
        <v>28.669499999999996</v>
      </c>
      <c r="M152" s="11">
        <f t="shared" si="40"/>
        <v>11.61</v>
      </c>
      <c r="O152" s="11" t="e">
        <f>#REF!</f>
        <v>#REF!</v>
      </c>
      <c r="P152" s="11" t="e">
        <f>#REF!</f>
        <v>#REF!</v>
      </c>
      <c r="Q152" s="11" t="e">
        <f>#REF!</f>
        <v>#REF!</v>
      </c>
      <c r="R152" s="22" t="e">
        <f t="shared" ref="R152:S152" si="48">Q152</f>
        <v>#REF!</v>
      </c>
      <c r="S152" s="22" t="e">
        <f t="shared" si="48"/>
        <v>#REF!</v>
      </c>
      <c r="U152" s="11" t="e">
        <f>#REF!</f>
        <v>#REF!</v>
      </c>
      <c r="W152" s="11" t="e">
        <f t="shared" si="41"/>
        <v>#REF!</v>
      </c>
      <c r="X152" s="11" t="e">
        <f t="shared" si="42"/>
        <v>#REF!</v>
      </c>
      <c r="Y152" s="11" t="e">
        <f t="shared" si="43"/>
        <v>#REF!</v>
      </c>
      <c r="Z152" s="11" t="e">
        <f t="shared" si="44"/>
        <v>#REF!</v>
      </c>
      <c r="AA152" s="11" t="e">
        <f t="shared" si="45"/>
        <v>#REF!</v>
      </c>
    </row>
    <row r="153" spans="2:27" x14ac:dyDescent="0.2">
      <c r="B153" s="9">
        <v>5</v>
      </c>
      <c r="C153" s="9" t="s">
        <v>36</v>
      </c>
      <c r="D153" s="10" t="s">
        <v>21</v>
      </c>
      <c r="E153" s="19" t="s">
        <v>12</v>
      </c>
      <c r="F153" s="10" t="str">
        <f t="shared" si="27"/>
        <v>5ELPPREMIUM</v>
      </c>
      <c r="G153" s="11">
        <v>34.55865</v>
      </c>
      <c r="H153" s="11">
        <v>32.768099999999997</v>
      </c>
      <c r="I153" s="11">
        <v>32.178149999999995</v>
      </c>
      <c r="J153" s="11">
        <v>32.178149999999995</v>
      </c>
      <c r="K153" s="11">
        <v>32.178149999999995</v>
      </c>
      <c r="M153" s="11">
        <f t="shared" si="40"/>
        <v>11.61</v>
      </c>
      <c r="O153" s="11" t="e">
        <f>#REF!</f>
        <v>#REF!</v>
      </c>
      <c r="P153" s="11" t="e">
        <f>#REF!</f>
        <v>#REF!</v>
      </c>
      <c r="Q153" s="11" t="e">
        <f>#REF!</f>
        <v>#REF!</v>
      </c>
      <c r="R153" s="22" t="e">
        <f t="shared" ref="R153:S153" si="49">Q153</f>
        <v>#REF!</v>
      </c>
      <c r="S153" s="22" t="e">
        <f t="shared" si="49"/>
        <v>#REF!</v>
      </c>
      <c r="U153" s="11" t="e">
        <f>#REF!</f>
        <v>#REF!</v>
      </c>
      <c r="W153" s="11" t="e">
        <f t="shared" si="41"/>
        <v>#REF!</v>
      </c>
      <c r="X153" s="11" t="e">
        <f t="shared" si="42"/>
        <v>#REF!</v>
      </c>
      <c r="Y153" s="11" t="e">
        <f t="shared" si="43"/>
        <v>#REF!</v>
      </c>
      <c r="Z153" s="11" t="e">
        <f t="shared" si="44"/>
        <v>#REF!</v>
      </c>
      <c r="AA153" s="11" t="e">
        <f t="shared" si="45"/>
        <v>#REF!</v>
      </c>
    </row>
    <row r="154" spans="2:27" x14ac:dyDescent="0.2">
      <c r="B154" s="9">
        <v>6</v>
      </c>
      <c r="C154" s="9" t="s">
        <v>36</v>
      </c>
      <c r="D154" s="10" t="s">
        <v>21</v>
      </c>
      <c r="E154" s="19" t="s">
        <v>12</v>
      </c>
      <c r="F154" s="10" t="str">
        <f t="shared" si="27"/>
        <v>6ELPPREMIUM</v>
      </c>
      <c r="G154" s="11">
        <v>40.489199999999997</v>
      </c>
      <c r="H154" s="11">
        <v>38.708999999999996</v>
      </c>
      <c r="I154" s="11">
        <v>38.129400000000004</v>
      </c>
      <c r="J154" s="11">
        <v>38.129400000000004</v>
      </c>
      <c r="K154" s="11">
        <v>38.129400000000004</v>
      </c>
      <c r="M154" s="11">
        <f t="shared" si="40"/>
        <v>11.61</v>
      </c>
      <c r="O154" s="11" t="e">
        <f>#REF!</f>
        <v>#REF!</v>
      </c>
      <c r="P154" s="11" t="e">
        <f>#REF!</f>
        <v>#REF!</v>
      </c>
      <c r="Q154" s="11" t="e">
        <f>#REF!</f>
        <v>#REF!</v>
      </c>
      <c r="R154" s="22" t="e">
        <f t="shared" ref="R154:S154" si="50">Q154</f>
        <v>#REF!</v>
      </c>
      <c r="S154" s="22" t="e">
        <f t="shared" si="50"/>
        <v>#REF!</v>
      </c>
      <c r="U154" s="11" t="e">
        <f>#REF!</f>
        <v>#REF!</v>
      </c>
      <c r="W154" s="11" t="e">
        <f t="shared" si="41"/>
        <v>#REF!</v>
      </c>
      <c r="X154" s="11" t="e">
        <f t="shared" si="42"/>
        <v>#REF!</v>
      </c>
      <c r="Y154" s="11" t="e">
        <f t="shared" si="43"/>
        <v>#REF!</v>
      </c>
      <c r="Z154" s="11" t="e">
        <f t="shared" si="44"/>
        <v>#REF!</v>
      </c>
      <c r="AA154" s="11" t="e">
        <f t="shared" si="45"/>
        <v>#REF!</v>
      </c>
    </row>
    <row r="155" spans="2:27" x14ac:dyDescent="0.2">
      <c r="B155" s="9">
        <v>7</v>
      </c>
      <c r="C155" s="9" t="s">
        <v>36</v>
      </c>
      <c r="D155" s="10" t="s">
        <v>21</v>
      </c>
      <c r="E155" s="19" t="s">
        <v>12</v>
      </c>
      <c r="F155" s="10" t="str">
        <f t="shared" si="27"/>
        <v>7ELPPREMIUM</v>
      </c>
      <c r="G155" s="11">
        <v>50.808149999999998</v>
      </c>
      <c r="H155" s="11">
        <v>49.058999999999997</v>
      </c>
      <c r="I155" s="11">
        <v>48.469049999999996</v>
      </c>
      <c r="J155" s="11">
        <v>48.469049999999996</v>
      </c>
      <c r="K155" s="11">
        <v>48.469049999999996</v>
      </c>
      <c r="M155" s="11">
        <f t="shared" si="40"/>
        <v>11.61</v>
      </c>
      <c r="O155" s="11" t="e">
        <f>#REF!</f>
        <v>#REF!</v>
      </c>
      <c r="P155" s="11" t="e">
        <f>#REF!</f>
        <v>#REF!</v>
      </c>
      <c r="Q155" s="11" t="e">
        <f>#REF!</f>
        <v>#REF!</v>
      </c>
      <c r="R155" s="22" t="e">
        <f t="shared" ref="R155:S155" si="51">Q155</f>
        <v>#REF!</v>
      </c>
      <c r="S155" s="22" t="e">
        <f t="shared" si="51"/>
        <v>#REF!</v>
      </c>
      <c r="U155" s="11" t="e">
        <f>#REF!</f>
        <v>#REF!</v>
      </c>
      <c r="W155" s="11" t="e">
        <f t="shared" si="41"/>
        <v>#REF!</v>
      </c>
      <c r="X155" s="11" t="e">
        <f t="shared" si="42"/>
        <v>#REF!</v>
      </c>
      <c r="Y155" s="11" t="e">
        <f t="shared" si="43"/>
        <v>#REF!</v>
      </c>
      <c r="Z155" s="11" t="e">
        <f t="shared" si="44"/>
        <v>#REF!</v>
      </c>
      <c r="AA155" s="11" t="e">
        <f t="shared" si="45"/>
        <v>#REF!</v>
      </c>
    </row>
    <row r="156" spans="2:27" x14ac:dyDescent="0.2">
      <c r="B156" s="9">
        <v>8</v>
      </c>
      <c r="C156" s="9" t="s">
        <v>36</v>
      </c>
      <c r="D156" s="10" t="s">
        <v>21</v>
      </c>
      <c r="E156" s="19" t="s">
        <v>12</v>
      </c>
      <c r="F156" s="10" t="str">
        <f t="shared" si="27"/>
        <v>8ELPPREMIUM</v>
      </c>
      <c r="G156" s="11">
        <v>77.107499999999987</v>
      </c>
      <c r="H156" s="11">
        <v>75.316949999999991</v>
      </c>
      <c r="I156" s="11">
        <v>74.716649999999987</v>
      </c>
      <c r="J156" s="11">
        <v>74.716649999999987</v>
      </c>
      <c r="K156" s="11">
        <v>74.716649999999987</v>
      </c>
      <c r="M156" s="11">
        <f t="shared" si="40"/>
        <v>11.61</v>
      </c>
      <c r="O156" s="11" t="e">
        <f>#REF!</f>
        <v>#REF!</v>
      </c>
      <c r="P156" s="11" t="e">
        <f>#REF!</f>
        <v>#REF!</v>
      </c>
      <c r="Q156" s="11" t="e">
        <f>#REF!</f>
        <v>#REF!</v>
      </c>
      <c r="R156" s="22" t="e">
        <f t="shared" ref="R156:S156" si="52">Q156</f>
        <v>#REF!</v>
      </c>
      <c r="S156" s="22" t="e">
        <f t="shared" si="52"/>
        <v>#REF!</v>
      </c>
      <c r="U156" s="11" t="e">
        <f>#REF!</f>
        <v>#REF!</v>
      </c>
      <c r="W156" s="11" t="e">
        <f t="shared" si="41"/>
        <v>#REF!</v>
      </c>
      <c r="X156" s="11" t="e">
        <f t="shared" si="42"/>
        <v>#REF!</v>
      </c>
      <c r="Y156" s="11" t="e">
        <f t="shared" si="43"/>
        <v>#REF!</v>
      </c>
      <c r="Z156" s="11" t="e">
        <f t="shared" si="44"/>
        <v>#REF!</v>
      </c>
      <c r="AA156" s="11" t="e">
        <f t="shared" si="45"/>
        <v>#REF!</v>
      </c>
    </row>
    <row r="157" spans="2:27" x14ac:dyDescent="0.2">
      <c r="B157" s="9">
        <v>9</v>
      </c>
      <c r="C157" s="9" t="s">
        <v>36</v>
      </c>
      <c r="D157" s="10" t="s">
        <v>21</v>
      </c>
      <c r="E157" s="19" t="s">
        <v>12</v>
      </c>
      <c r="F157" s="10" t="str">
        <f t="shared" si="27"/>
        <v>9ELPPREMIUM</v>
      </c>
      <c r="G157" s="11">
        <v>115.49565</v>
      </c>
      <c r="H157" s="11">
        <v>113.83964999999999</v>
      </c>
      <c r="I157" s="11">
        <v>113.29109999999999</v>
      </c>
      <c r="J157" s="11">
        <v>113.29109999999999</v>
      </c>
      <c r="K157" s="11">
        <v>113.29109999999999</v>
      </c>
      <c r="M157" s="11">
        <f t="shared" si="40"/>
        <v>11.61</v>
      </c>
      <c r="O157" s="11" t="e">
        <f>#REF!</f>
        <v>#REF!</v>
      </c>
      <c r="P157" s="11" t="e">
        <f>#REF!</f>
        <v>#REF!</v>
      </c>
      <c r="Q157" s="11" t="e">
        <f>#REF!</f>
        <v>#REF!</v>
      </c>
      <c r="R157" s="22" t="e">
        <f t="shared" ref="R157:S157" si="53">Q157</f>
        <v>#REF!</v>
      </c>
      <c r="S157" s="22" t="e">
        <f t="shared" si="53"/>
        <v>#REF!</v>
      </c>
      <c r="U157" s="11" t="e">
        <f>#REF!</f>
        <v>#REF!</v>
      </c>
      <c r="W157" s="11" t="e">
        <f t="shared" si="41"/>
        <v>#REF!</v>
      </c>
      <c r="X157" s="11" t="e">
        <f t="shared" si="42"/>
        <v>#REF!</v>
      </c>
      <c r="Y157" s="11" t="e">
        <f t="shared" si="43"/>
        <v>#REF!</v>
      </c>
      <c r="Z157" s="11" t="e">
        <f t="shared" si="44"/>
        <v>#REF!</v>
      </c>
      <c r="AA157" s="11" t="e">
        <f t="shared" si="45"/>
        <v>#REF!</v>
      </c>
    </row>
    <row r="158" spans="2:27" x14ac:dyDescent="0.2">
      <c r="B158" s="9">
        <v>10</v>
      </c>
      <c r="C158" s="9" t="s">
        <v>36</v>
      </c>
      <c r="D158" s="10" t="s">
        <v>21</v>
      </c>
      <c r="E158" s="19" t="s">
        <v>12</v>
      </c>
      <c r="F158" s="10" t="str">
        <f t="shared" si="27"/>
        <v>10ELPPREMIUM</v>
      </c>
      <c r="G158" s="11">
        <v>122.07825</v>
      </c>
      <c r="H158" s="11">
        <v>119.88404999999999</v>
      </c>
      <c r="I158" s="11">
        <v>119.33549999999998</v>
      </c>
      <c r="J158" s="11">
        <v>119.33549999999998</v>
      </c>
      <c r="K158" s="11">
        <v>119.33549999999998</v>
      </c>
      <c r="M158" s="11">
        <f t="shared" si="40"/>
        <v>11.61</v>
      </c>
      <c r="O158" s="11" t="e">
        <f>#REF!</f>
        <v>#REF!</v>
      </c>
      <c r="P158" s="11" t="e">
        <f>#REF!</f>
        <v>#REF!</v>
      </c>
      <c r="Q158" s="11" t="e">
        <f>#REF!</f>
        <v>#REF!</v>
      </c>
      <c r="R158" s="22" t="e">
        <f t="shared" ref="R158:S158" si="54">Q158</f>
        <v>#REF!</v>
      </c>
      <c r="S158" s="22" t="e">
        <f t="shared" si="54"/>
        <v>#REF!</v>
      </c>
      <c r="U158" s="11" t="e">
        <f>#REF!</f>
        <v>#REF!</v>
      </c>
      <c r="W158" s="11" t="e">
        <f t="shared" si="41"/>
        <v>#REF!</v>
      </c>
      <c r="X158" s="11" t="e">
        <f t="shared" si="42"/>
        <v>#REF!</v>
      </c>
      <c r="Y158" s="11" t="e">
        <f t="shared" si="43"/>
        <v>#REF!</v>
      </c>
      <c r="Z158" s="11" t="e">
        <f t="shared" si="44"/>
        <v>#REF!</v>
      </c>
      <c r="AA158" s="11" t="e">
        <f t="shared" si="45"/>
        <v>#REF!</v>
      </c>
    </row>
    <row r="159" spans="2:27" x14ac:dyDescent="0.2">
      <c r="B159" s="9">
        <v>11</v>
      </c>
      <c r="C159" s="9" t="s">
        <v>36</v>
      </c>
      <c r="D159" s="10" t="s">
        <v>21</v>
      </c>
      <c r="E159" s="19" t="s">
        <v>12</v>
      </c>
      <c r="F159" s="10" t="str">
        <f t="shared" si="27"/>
        <v>11ELPPREMIUM</v>
      </c>
      <c r="G159" s="11">
        <v>123.17534999999999</v>
      </c>
      <c r="H159" s="11">
        <v>120.98114999999999</v>
      </c>
      <c r="I159" s="11">
        <v>120.43259999999999</v>
      </c>
      <c r="J159" s="11">
        <v>120.43259999999999</v>
      </c>
      <c r="K159" s="11">
        <v>120.43259999999999</v>
      </c>
      <c r="M159" s="11">
        <f t="shared" si="40"/>
        <v>11.61</v>
      </c>
      <c r="O159" s="11" t="e">
        <f>#REF!</f>
        <v>#REF!</v>
      </c>
      <c r="P159" s="11" t="e">
        <f>#REF!</f>
        <v>#REF!</v>
      </c>
      <c r="Q159" s="11" t="e">
        <f>#REF!</f>
        <v>#REF!</v>
      </c>
      <c r="R159" s="22" t="e">
        <f t="shared" ref="R159:S159" si="55">Q159</f>
        <v>#REF!</v>
      </c>
      <c r="S159" s="22" t="e">
        <f t="shared" si="55"/>
        <v>#REF!</v>
      </c>
      <c r="U159" s="11" t="e">
        <f>#REF!</f>
        <v>#REF!</v>
      </c>
      <c r="W159" s="11" t="e">
        <f t="shared" si="41"/>
        <v>#REF!</v>
      </c>
      <c r="X159" s="11" t="e">
        <f t="shared" si="42"/>
        <v>#REF!</v>
      </c>
      <c r="Y159" s="11" t="e">
        <f t="shared" si="43"/>
        <v>#REF!</v>
      </c>
      <c r="Z159" s="11" t="e">
        <f t="shared" si="44"/>
        <v>#REF!</v>
      </c>
      <c r="AA159" s="11" t="e">
        <f t="shared" si="45"/>
        <v>#REF!</v>
      </c>
    </row>
    <row r="160" spans="2:27" x14ac:dyDescent="0.2">
      <c r="B160" s="9">
        <v>12</v>
      </c>
      <c r="C160" s="9" t="s">
        <v>36</v>
      </c>
      <c r="D160" s="10" t="s">
        <v>21</v>
      </c>
      <c r="E160" s="19" t="s">
        <v>12</v>
      </c>
      <c r="F160" s="10" t="str">
        <f t="shared" si="27"/>
        <v>12ELPPREMIUM</v>
      </c>
      <c r="G160" s="11">
        <v>169.30529999999999</v>
      </c>
      <c r="H160" s="11">
        <v>167.65965</v>
      </c>
      <c r="I160" s="11">
        <v>166.56254999999999</v>
      </c>
      <c r="J160" s="11">
        <v>166.56254999999999</v>
      </c>
      <c r="K160" s="11">
        <v>166.56254999999999</v>
      </c>
      <c r="M160" s="11">
        <f t="shared" si="40"/>
        <v>11.61</v>
      </c>
      <c r="O160" s="11" t="e">
        <f>#REF!</f>
        <v>#REF!</v>
      </c>
      <c r="P160" s="11" t="e">
        <f>#REF!</f>
        <v>#REF!</v>
      </c>
      <c r="Q160" s="11" t="e">
        <f>#REF!</f>
        <v>#REF!</v>
      </c>
      <c r="R160" s="22" t="e">
        <f t="shared" ref="R160:S160" si="56">Q160</f>
        <v>#REF!</v>
      </c>
      <c r="S160" s="22" t="e">
        <f t="shared" si="56"/>
        <v>#REF!</v>
      </c>
      <c r="U160" s="11" t="e">
        <f>#REF!</f>
        <v>#REF!</v>
      </c>
      <c r="W160" s="11" t="e">
        <f t="shared" si="41"/>
        <v>#REF!</v>
      </c>
      <c r="X160" s="11" t="e">
        <f t="shared" si="42"/>
        <v>#REF!</v>
      </c>
      <c r="Y160" s="11" t="e">
        <f t="shared" si="43"/>
        <v>#REF!</v>
      </c>
      <c r="Z160" s="11" t="e">
        <f t="shared" si="44"/>
        <v>#REF!</v>
      </c>
      <c r="AA160" s="11" t="e">
        <f t="shared" si="45"/>
        <v>#REF!</v>
      </c>
    </row>
    <row r="161" spans="2:27" x14ac:dyDescent="0.2">
      <c r="B161" s="9">
        <v>13</v>
      </c>
      <c r="C161" s="9" t="s">
        <v>36</v>
      </c>
      <c r="D161" s="10" t="s">
        <v>21</v>
      </c>
      <c r="E161" s="19" t="s">
        <v>12</v>
      </c>
      <c r="F161" s="10" t="str">
        <f t="shared" ref="F161:F162" si="57">B161&amp;D161&amp;E161</f>
        <v>13ELPPREMIUM</v>
      </c>
      <c r="G161" s="11">
        <v>289.79999999999995</v>
      </c>
      <c r="H161" s="11">
        <v>289.79999999999995</v>
      </c>
      <c r="I161" s="11">
        <v>289.79999999999995</v>
      </c>
      <c r="J161" s="11">
        <v>289.79999999999995</v>
      </c>
      <c r="K161" s="11">
        <v>289.79999999999995</v>
      </c>
      <c r="M161" s="11">
        <f t="shared" si="40"/>
        <v>11.61</v>
      </c>
      <c r="O161" s="11" t="e">
        <f>#REF!</f>
        <v>#REF!</v>
      </c>
      <c r="P161" s="11" t="e">
        <f>#REF!</f>
        <v>#REF!</v>
      </c>
      <c r="Q161" s="11" t="e">
        <f>#REF!</f>
        <v>#REF!</v>
      </c>
      <c r="R161" s="22" t="e">
        <f t="shared" ref="R161:R162" si="58">Q161</f>
        <v>#REF!</v>
      </c>
      <c r="S161" s="22" t="e">
        <f t="shared" ref="S161:S162" si="59">R161</f>
        <v>#REF!</v>
      </c>
      <c r="U161" s="11" t="e">
        <f>#REF!</f>
        <v>#REF!</v>
      </c>
      <c r="W161" s="11" t="e">
        <f t="shared" ref="W161:W162" si="60">G161+$M161+O161+$U161</f>
        <v>#REF!</v>
      </c>
      <c r="X161" s="11" t="e">
        <f t="shared" ref="X161:X162" si="61">H161+$M161+P161+$U161</f>
        <v>#REF!</v>
      </c>
      <c r="Y161" s="11" t="e">
        <f t="shared" ref="Y161:Y162" si="62">I161+$M161+Q161+$U161</f>
        <v>#REF!</v>
      </c>
      <c r="Z161" s="11" t="e">
        <f t="shared" ref="Z161:Z162" si="63">J161+$M161+R161+$U161</f>
        <v>#REF!</v>
      </c>
      <c r="AA161" s="11" t="e">
        <f t="shared" ref="AA161:AA162" si="64">K161+$M161+S161+$U161</f>
        <v>#REF!</v>
      </c>
    </row>
    <row r="162" spans="2:27" x14ac:dyDescent="0.2">
      <c r="B162" s="9">
        <v>14</v>
      </c>
      <c r="C162" s="9" t="s">
        <v>36</v>
      </c>
      <c r="D162" s="10" t="s">
        <v>21</v>
      </c>
      <c r="E162" s="19" t="s">
        <v>12</v>
      </c>
      <c r="F162" s="10" t="str">
        <f t="shared" si="57"/>
        <v>14ELPPREMIUM</v>
      </c>
      <c r="G162" s="11">
        <v>320.84999999999997</v>
      </c>
      <c r="H162" s="11">
        <v>320.84999999999997</v>
      </c>
      <c r="I162" s="11">
        <v>320.84999999999997</v>
      </c>
      <c r="J162" s="11">
        <v>320.84999999999997</v>
      </c>
      <c r="K162" s="11">
        <v>320.84999999999997</v>
      </c>
      <c r="M162" s="11">
        <f t="shared" si="40"/>
        <v>11.61</v>
      </c>
      <c r="O162" s="11" t="e">
        <f>#REF!</f>
        <v>#REF!</v>
      </c>
      <c r="P162" s="11" t="e">
        <f>#REF!</f>
        <v>#REF!</v>
      </c>
      <c r="Q162" s="11" t="e">
        <f>#REF!</f>
        <v>#REF!</v>
      </c>
      <c r="R162" s="22" t="e">
        <f t="shared" si="58"/>
        <v>#REF!</v>
      </c>
      <c r="S162" s="22" t="e">
        <f t="shared" si="59"/>
        <v>#REF!</v>
      </c>
      <c r="U162" s="11" t="e">
        <f>#REF!</f>
        <v>#REF!</v>
      </c>
      <c r="W162" s="11" t="e">
        <f t="shared" si="60"/>
        <v>#REF!</v>
      </c>
      <c r="X162" s="11" t="e">
        <f t="shared" si="61"/>
        <v>#REF!</v>
      </c>
      <c r="Y162" s="11" t="e">
        <f t="shared" si="62"/>
        <v>#REF!</v>
      </c>
      <c r="Z162" s="11" t="e">
        <f t="shared" si="63"/>
        <v>#REF!</v>
      </c>
      <c r="AA162" s="11" t="e">
        <f t="shared" si="64"/>
        <v>#REF!</v>
      </c>
    </row>
    <row r="163" spans="2:27" x14ac:dyDescent="0.2">
      <c r="B163" s="9">
        <v>21</v>
      </c>
      <c r="C163" s="9" t="s">
        <v>37</v>
      </c>
      <c r="D163" s="10" t="s">
        <v>21</v>
      </c>
      <c r="E163" s="19" t="s">
        <v>12</v>
      </c>
      <c r="F163" s="10" t="str">
        <f t="shared" si="27"/>
        <v>21ELPPREMIUM</v>
      </c>
      <c r="G163" s="12">
        <v>16.528949999999998</v>
      </c>
      <c r="H163" s="12">
        <v>14.790149999999999</v>
      </c>
      <c r="I163" s="12">
        <v>13.051349999999998</v>
      </c>
      <c r="J163" s="12">
        <v>13.051349999999998</v>
      </c>
      <c r="K163" s="12">
        <v>13.051349999999998</v>
      </c>
      <c r="M163" s="12">
        <f t="shared" si="40"/>
        <v>11.51</v>
      </c>
      <c r="O163" s="12" t="e">
        <f>#REF!</f>
        <v>#REF!</v>
      </c>
      <c r="P163" s="12" t="e">
        <f>#REF!</f>
        <v>#REF!</v>
      </c>
      <c r="Q163" s="12" t="e">
        <f>#REF!</f>
        <v>#REF!</v>
      </c>
      <c r="R163" s="22" t="e">
        <f t="shared" ref="R163:S163" si="65">Q163</f>
        <v>#REF!</v>
      </c>
      <c r="S163" s="22" t="e">
        <f t="shared" si="65"/>
        <v>#REF!</v>
      </c>
      <c r="U163" s="12" t="e">
        <f>#REF!</f>
        <v>#REF!</v>
      </c>
      <c r="W163" s="12" t="e">
        <f t="shared" si="41"/>
        <v>#REF!</v>
      </c>
      <c r="X163" s="12" t="e">
        <f t="shared" si="42"/>
        <v>#REF!</v>
      </c>
      <c r="Y163" s="12" t="e">
        <f t="shared" si="43"/>
        <v>#REF!</v>
      </c>
      <c r="Z163" s="12" t="e">
        <f t="shared" si="44"/>
        <v>#REF!</v>
      </c>
      <c r="AA163" s="12" t="e">
        <f t="shared" si="45"/>
        <v>#REF!</v>
      </c>
    </row>
    <row r="164" spans="2:27" x14ac:dyDescent="0.2">
      <c r="B164" s="9">
        <v>22</v>
      </c>
      <c r="C164" s="9" t="s">
        <v>37</v>
      </c>
      <c r="D164" s="10" t="s">
        <v>21</v>
      </c>
      <c r="E164" s="19" t="s">
        <v>12</v>
      </c>
      <c r="F164" s="10" t="str">
        <f t="shared" si="27"/>
        <v>22ELPPREMIUM</v>
      </c>
      <c r="G164" s="12">
        <v>19.747799999999998</v>
      </c>
      <c r="H164" s="12">
        <v>17.967599999999997</v>
      </c>
      <c r="I164" s="12">
        <v>16.208099999999998</v>
      </c>
      <c r="J164" s="12">
        <v>16.208099999999998</v>
      </c>
      <c r="K164" s="12">
        <v>16.208099999999998</v>
      </c>
      <c r="M164" s="12">
        <f t="shared" si="40"/>
        <v>11.51</v>
      </c>
      <c r="O164" s="12" t="e">
        <f>#REF!</f>
        <v>#REF!</v>
      </c>
      <c r="P164" s="12" t="e">
        <f>#REF!</f>
        <v>#REF!</v>
      </c>
      <c r="Q164" s="12" t="e">
        <f>#REF!</f>
        <v>#REF!</v>
      </c>
      <c r="R164" s="22" t="e">
        <f t="shared" ref="R164:S164" si="66">Q164</f>
        <v>#REF!</v>
      </c>
      <c r="S164" s="22" t="e">
        <f t="shared" si="66"/>
        <v>#REF!</v>
      </c>
      <c r="U164" s="12" t="e">
        <f>#REF!</f>
        <v>#REF!</v>
      </c>
      <c r="W164" s="12" t="e">
        <f t="shared" si="41"/>
        <v>#REF!</v>
      </c>
      <c r="X164" s="12" t="e">
        <f t="shared" si="42"/>
        <v>#REF!</v>
      </c>
      <c r="Y164" s="12" t="e">
        <f t="shared" si="43"/>
        <v>#REF!</v>
      </c>
      <c r="Z164" s="12" t="e">
        <f t="shared" si="44"/>
        <v>#REF!</v>
      </c>
      <c r="AA164" s="12" t="e">
        <f t="shared" si="45"/>
        <v>#REF!</v>
      </c>
    </row>
    <row r="165" spans="2:27" x14ac:dyDescent="0.2">
      <c r="B165" s="9">
        <v>23</v>
      </c>
      <c r="C165" s="9" t="s">
        <v>37</v>
      </c>
      <c r="D165" s="10" t="s">
        <v>21</v>
      </c>
      <c r="E165" s="19" t="s">
        <v>12</v>
      </c>
      <c r="F165" s="10" t="str">
        <f t="shared" si="27"/>
        <v>23ELPPREMIUM</v>
      </c>
      <c r="G165" s="12">
        <v>23.649750000000001</v>
      </c>
      <c r="H165" s="12">
        <v>21.890249999999998</v>
      </c>
      <c r="I165" s="12">
        <v>20.720699999999997</v>
      </c>
      <c r="J165" s="12">
        <v>20.720699999999997</v>
      </c>
      <c r="K165" s="12">
        <v>20.720699999999997</v>
      </c>
      <c r="M165" s="12">
        <f t="shared" si="40"/>
        <v>11.51</v>
      </c>
      <c r="O165" s="12" t="e">
        <f>#REF!</f>
        <v>#REF!</v>
      </c>
      <c r="P165" s="12" t="e">
        <f>#REF!</f>
        <v>#REF!</v>
      </c>
      <c r="Q165" s="12" t="e">
        <f>#REF!</f>
        <v>#REF!</v>
      </c>
      <c r="R165" s="22" t="e">
        <f t="shared" ref="R165:S165" si="67">Q165</f>
        <v>#REF!</v>
      </c>
      <c r="S165" s="22" t="e">
        <f t="shared" si="67"/>
        <v>#REF!</v>
      </c>
      <c r="U165" s="12" t="e">
        <f>#REF!</f>
        <v>#REF!</v>
      </c>
      <c r="W165" s="12" t="e">
        <f t="shared" si="41"/>
        <v>#REF!</v>
      </c>
      <c r="X165" s="12" t="e">
        <f t="shared" si="42"/>
        <v>#REF!</v>
      </c>
      <c r="Y165" s="12" t="e">
        <f t="shared" si="43"/>
        <v>#REF!</v>
      </c>
      <c r="Z165" s="12" t="e">
        <f t="shared" si="44"/>
        <v>#REF!</v>
      </c>
      <c r="AA165" s="12" t="e">
        <f t="shared" si="45"/>
        <v>#REF!</v>
      </c>
    </row>
    <row r="166" spans="2:27" x14ac:dyDescent="0.2">
      <c r="B166" s="9">
        <v>24</v>
      </c>
      <c r="C166" s="9" t="s">
        <v>37</v>
      </c>
      <c r="D166" s="10" t="s">
        <v>21</v>
      </c>
      <c r="E166" s="19" t="s">
        <v>12</v>
      </c>
      <c r="F166" s="10" t="str">
        <f t="shared" si="27"/>
        <v>24ELPPREMIUM</v>
      </c>
      <c r="G166" s="12">
        <v>25.398899999999998</v>
      </c>
      <c r="H166" s="12">
        <v>23.5566</v>
      </c>
      <c r="I166" s="12">
        <v>22.335299999999997</v>
      </c>
      <c r="J166" s="12">
        <v>22.335299999999997</v>
      </c>
      <c r="K166" s="12">
        <v>22.335299999999997</v>
      </c>
      <c r="M166" s="12">
        <f t="shared" si="40"/>
        <v>11.51</v>
      </c>
      <c r="O166" s="12" t="e">
        <f>#REF!</f>
        <v>#REF!</v>
      </c>
      <c r="P166" s="12" t="e">
        <f>#REF!</f>
        <v>#REF!</v>
      </c>
      <c r="Q166" s="12" t="e">
        <f>#REF!</f>
        <v>#REF!</v>
      </c>
      <c r="R166" s="22" t="e">
        <f t="shared" ref="R166:S166" si="68">Q166</f>
        <v>#REF!</v>
      </c>
      <c r="S166" s="22" t="e">
        <f t="shared" si="68"/>
        <v>#REF!</v>
      </c>
      <c r="U166" s="12" t="e">
        <f>#REF!</f>
        <v>#REF!</v>
      </c>
      <c r="W166" s="12" t="e">
        <f t="shared" si="41"/>
        <v>#REF!</v>
      </c>
      <c r="X166" s="12" t="e">
        <f t="shared" si="42"/>
        <v>#REF!</v>
      </c>
      <c r="Y166" s="12" t="e">
        <f t="shared" si="43"/>
        <v>#REF!</v>
      </c>
      <c r="Z166" s="12" t="e">
        <f t="shared" si="44"/>
        <v>#REF!</v>
      </c>
      <c r="AA166" s="12" t="e">
        <f t="shared" si="45"/>
        <v>#REF!</v>
      </c>
    </row>
    <row r="167" spans="2:27" x14ac:dyDescent="0.2">
      <c r="B167" s="9">
        <v>25</v>
      </c>
      <c r="C167" s="9" t="s">
        <v>37</v>
      </c>
      <c r="D167" s="10" t="s">
        <v>21</v>
      </c>
      <c r="E167" s="19" t="s">
        <v>12</v>
      </c>
      <c r="F167" s="10" t="str">
        <f t="shared" si="27"/>
        <v>25ELPPREMIUM</v>
      </c>
      <c r="G167" s="12">
        <v>26.909999999999997</v>
      </c>
      <c r="H167" s="12">
        <v>25.740449999999999</v>
      </c>
      <c r="I167" s="12">
        <v>24.581249999999997</v>
      </c>
      <c r="J167" s="12">
        <v>24.581249999999997</v>
      </c>
      <c r="K167" s="12">
        <v>24.581249999999997</v>
      </c>
      <c r="M167" s="12">
        <f t="shared" si="40"/>
        <v>11.51</v>
      </c>
      <c r="O167" s="12" t="e">
        <f>#REF!</f>
        <v>#REF!</v>
      </c>
      <c r="P167" s="12" t="e">
        <f>#REF!</f>
        <v>#REF!</v>
      </c>
      <c r="Q167" s="12" t="e">
        <f>#REF!</f>
        <v>#REF!</v>
      </c>
      <c r="R167" s="22" t="e">
        <f t="shared" ref="R167:S167" si="69">Q167</f>
        <v>#REF!</v>
      </c>
      <c r="S167" s="22" t="e">
        <f t="shared" si="69"/>
        <v>#REF!</v>
      </c>
      <c r="U167" s="12" t="e">
        <f>#REF!</f>
        <v>#REF!</v>
      </c>
      <c r="W167" s="12" t="e">
        <f t="shared" si="41"/>
        <v>#REF!</v>
      </c>
      <c r="X167" s="12" t="e">
        <f t="shared" si="42"/>
        <v>#REF!</v>
      </c>
      <c r="Y167" s="12" t="e">
        <f t="shared" si="43"/>
        <v>#REF!</v>
      </c>
      <c r="Z167" s="12" t="e">
        <f t="shared" si="44"/>
        <v>#REF!</v>
      </c>
      <c r="AA167" s="12" t="e">
        <f t="shared" si="45"/>
        <v>#REF!</v>
      </c>
    </row>
    <row r="168" spans="2:27" x14ac:dyDescent="0.2">
      <c r="B168" s="9">
        <v>26</v>
      </c>
      <c r="C168" s="9" t="s">
        <v>37</v>
      </c>
      <c r="D168" s="10" t="s">
        <v>21</v>
      </c>
      <c r="E168" s="19" t="s">
        <v>12</v>
      </c>
      <c r="F168" s="10" t="str">
        <f t="shared" si="27"/>
        <v>26ELPPREMIUM</v>
      </c>
      <c r="G168" s="12">
        <v>29.569949999999999</v>
      </c>
      <c r="H168" s="12">
        <v>28.421099999999999</v>
      </c>
      <c r="I168" s="12">
        <v>27.261899999999997</v>
      </c>
      <c r="J168" s="12">
        <v>27.261899999999997</v>
      </c>
      <c r="K168" s="12">
        <v>27.261899999999997</v>
      </c>
      <c r="M168" s="12">
        <f t="shared" si="40"/>
        <v>11.51</v>
      </c>
      <c r="O168" s="12" t="e">
        <f>#REF!</f>
        <v>#REF!</v>
      </c>
      <c r="P168" s="12" t="e">
        <f>#REF!</f>
        <v>#REF!</v>
      </c>
      <c r="Q168" s="12" t="e">
        <f>#REF!</f>
        <v>#REF!</v>
      </c>
      <c r="R168" s="22" t="e">
        <f t="shared" ref="R168:S168" si="70">Q168</f>
        <v>#REF!</v>
      </c>
      <c r="S168" s="22" t="e">
        <f t="shared" si="70"/>
        <v>#REF!</v>
      </c>
      <c r="U168" s="12" t="e">
        <f>#REF!</f>
        <v>#REF!</v>
      </c>
      <c r="W168" s="12" t="e">
        <f t="shared" si="41"/>
        <v>#REF!</v>
      </c>
      <c r="X168" s="12" t="e">
        <f t="shared" si="42"/>
        <v>#REF!</v>
      </c>
      <c r="Y168" s="12" t="e">
        <f t="shared" si="43"/>
        <v>#REF!</v>
      </c>
      <c r="Z168" s="12" t="e">
        <f t="shared" si="44"/>
        <v>#REF!</v>
      </c>
      <c r="AA168" s="12" t="e">
        <f t="shared" si="45"/>
        <v>#REF!</v>
      </c>
    </row>
    <row r="169" spans="2:27" x14ac:dyDescent="0.2">
      <c r="B169" s="9">
        <v>27</v>
      </c>
      <c r="C169" s="9" t="s">
        <v>37</v>
      </c>
      <c r="D169" s="10" t="s">
        <v>21</v>
      </c>
      <c r="E169" s="19" t="s">
        <v>12</v>
      </c>
      <c r="F169" s="10" t="str">
        <f t="shared" ref="F169:F261" si="71">B169&amp;D169&amp;E169</f>
        <v>27ELPPREMIUM</v>
      </c>
      <c r="G169" s="12">
        <v>104.29694999999998</v>
      </c>
      <c r="H169" s="12">
        <v>103.19984999999998</v>
      </c>
      <c r="I169" s="12">
        <v>102.0924</v>
      </c>
      <c r="J169" s="12">
        <v>102.0924</v>
      </c>
      <c r="K169" s="12">
        <v>102.0924</v>
      </c>
      <c r="M169" s="12">
        <f t="shared" si="40"/>
        <v>11.51</v>
      </c>
      <c r="O169" s="12" t="e">
        <f>#REF!</f>
        <v>#REF!</v>
      </c>
      <c r="P169" s="12" t="e">
        <f>#REF!</f>
        <v>#REF!</v>
      </c>
      <c r="Q169" s="12" t="e">
        <f>#REF!</f>
        <v>#REF!</v>
      </c>
      <c r="R169" s="22" t="e">
        <f t="shared" ref="R169:S169" si="72">Q169</f>
        <v>#REF!</v>
      </c>
      <c r="S169" s="22" t="e">
        <f t="shared" si="72"/>
        <v>#REF!</v>
      </c>
      <c r="U169" s="12" t="e">
        <f>#REF!</f>
        <v>#REF!</v>
      </c>
      <c r="W169" s="12" t="e">
        <f t="shared" si="41"/>
        <v>#REF!</v>
      </c>
      <c r="X169" s="12" t="e">
        <f t="shared" si="42"/>
        <v>#REF!</v>
      </c>
      <c r="Y169" s="12" t="e">
        <f t="shared" si="43"/>
        <v>#REF!</v>
      </c>
      <c r="Z169" s="12" t="e">
        <f t="shared" si="44"/>
        <v>#REF!</v>
      </c>
      <c r="AA169" s="12" t="e">
        <f t="shared" si="45"/>
        <v>#REF!</v>
      </c>
    </row>
    <row r="170" spans="2:27" x14ac:dyDescent="0.2">
      <c r="B170" s="9">
        <v>28</v>
      </c>
      <c r="C170" s="9" t="s">
        <v>37</v>
      </c>
      <c r="D170" s="10" t="s">
        <v>21</v>
      </c>
      <c r="E170" s="19" t="s">
        <v>12</v>
      </c>
      <c r="F170" s="10" t="str">
        <f t="shared" si="71"/>
        <v>28ELPPREMIUM</v>
      </c>
      <c r="G170" s="12">
        <v>107.58824999999999</v>
      </c>
      <c r="H170" s="12">
        <v>106.49114999999999</v>
      </c>
      <c r="I170" s="12">
        <v>105.39404999999999</v>
      </c>
      <c r="J170" s="12">
        <v>105.39404999999999</v>
      </c>
      <c r="K170" s="12">
        <v>105.39404999999999</v>
      </c>
      <c r="M170" s="12">
        <f t="shared" si="40"/>
        <v>11.51</v>
      </c>
      <c r="O170" s="12" t="e">
        <f>#REF!</f>
        <v>#REF!</v>
      </c>
      <c r="P170" s="12" t="e">
        <f>#REF!</f>
        <v>#REF!</v>
      </c>
      <c r="Q170" s="12" t="e">
        <f>#REF!</f>
        <v>#REF!</v>
      </c>
      <c r="R170" s="22" t="e">
        <f t="shared" ref="R170:S170" si="73">Q170</f>
        <v>#REF!</v>
      </c>
      <c r="S170" s="22" t="e">
        <f t="shared" si="73"/>
        <v>#REF!</v>
      </c>
      <c r="U170" s="12" t="e">
        <f>#REF!</f>
        <v>#REF!</v>
      </c>
      <c r="W170" s="12" t="e">
        <f t="shared" si="41"/>
        <v>#REF!</v>
      </c>
      <c r="X170" s="12" t="e">
        <f t="shared" si="42"/>
        <v>#REF!</v>
      </c>
      <c r="Y170" s="12" t="e">
        <f t="shared" si="43"/>
        <v>#REF!</v>
      </c>
      <c r="Z170" s="12" t="e">
        <f t="shared" si="44"/>
        <v>#REF!</v>
      </c>
      <c r="AA170" s="12" t="e">
        <f t="shared" si="45"/>
        <v>#REF!</v>
      </c>
    </row>
    <row r="171" spans="2:27" x14ac:dyDescent="0.2">
      <c r="B171" s="9">
        <v>31</v>
      </c>
      <c r="C171" s="9" t="s">
        <v>46</v>
      </c>
      <c r="D171" s="10" t="s">
        <v>21</v>
      </c>
      <c r="E171" s="19" t="s">
        <v>12</v>
      </c>
      <c r="F171" s="10" t="str">
        <f t="shared" si="71"/>
        <v>31ELPPREMIUM</v>
      </c>
      <c r="G171" s="13">
        <v>16.352999999999998</v>
      </c>
      <c r="H171" s="13">
        <v>14.614199999999999</v>
      </c>
      <c r="I171" s="13">
        <v>13.454999999999998</v>
      </c>
      <c r="J171" s="13">
        <v>13.454999999999998</v>
      </c>
      <c r="K171" s="13">
        <v>13.454999999999998</v>
      </c>
      <c r="M171" s="13">
        <f t="shared" si="40"/>
        <v>10.81</v>
      </c>
      <c r="O171" s="13" t="e">
        <f>#REF!</f>
        <v>#REF!</v>
      </c>
      <c r="P171" s="13" t="e">
        <f>#REF!</f>
        <v>#REF!</v>
      </c>
      <c r="Q171" s="13" t="e">
        <f>#REF!</f>
        <v>#REF!</v>
      </c>
      <c r="R171" s="22" t="e">
        <f t="shared" ref="R171:S171" si="74">Q171</f>
        <v>#REF!</v>
      </c>
      <c r="S171" s="22" t="e">
        <f t="shared" si="74"/>
        <v>#REF!</v>
      </c>
      <c r="U171" s="13" t="e">
        <f>#REF!</f>
        <v>#REF!</v>
      </c>
      <c r="W171" s="13" t="e">
        <f t="shared" si="41"/>
        <v>#REF!</v>
      </c>
      <c r="X171" s="13" t="e">
        <f t="shared" si="42"/>
        <v>#REF!</v>
      </c>
      <c r="Y171" s="13" t="e">
        <f t="shared" si="43"/>
        <v>#REF!</v>
      </c>
      <c r="Z171" s="13" t="e">
        <f t="shared" si="44"/>
        <v>#REF!</v>
      </c>
      <c r="AA171" s="13" t="e">
        <f t="shared" si="45"/>
        <v>#REF!</v>
      </c>
    </row>
    <row r="172" spans="2:27" x14ac:dyDescent="0.2">
      <c r="B172" s="9">
        <v>32</v>
      </c>
      <c r="C172" s="9" t="s">
        <v>46</v>
      </c>
      <c r="D172" s="10" t="s">
        <v>21</v>
      </c>
      <c r="E172" s="19" t="s">
        <v>12</v>
      </c>
      <c r="F172" s="10" t="str">
        <f t="shared" si="71"/>
        <v>32ELPPREMIUM</v>
      </c>
      <c r="G172" s="13">
        <v>20.317049999999998</v>
      </c>
      <c r="H172" s="13">
        <v>18.505799999999997</v>
      </c>
      <c r="I172" s="13">
        <v>17.305199999999999</v>
      </c>
      <c r="J172" s="13">
        <v>17.305199999999999</v>
      </c>
      <c r="K172" s="13">
        <v>17.305199999999999</v>
      </c>
      <c r="M172" s="13">
        <f t="shared" si="40"/>
        <v>10.81</v>
      </c>
      <c r="O172" s="13" t="e">
        <f>#REF!</f>
        <v>#REF!</v>
      </c>
      <c r="P172" s="13" t="e">
        <f>#REF!</f>
        <v>#REF!</v>
      </c>
      <c r="Q172" s="13" t="e">
        <f>#REF!</f>
        <v>#REF!</v>
      </c>
      <c r="R172" s="22" t="e">
        <f t="shared" ref="R172:S172" si="75">Q172</f>
        <v>#REF!</v>
      </c>
      <c r="S172" s="22" t="e">
        <f t="shared" si="75"/>
        <v>#REF!</v>
      </c>
      <c r="U172" s="13" t="e">
        <f>#REF!</f>
        <v>#REF!</v>
      </c>
      <c r="W172" s="13" t="e">
        <f t="shared" si="41"/>
        <v>#REF!</v>
      </c>
      <c r="X172" s="13" t="e">
        <f t="shared" si="42"/>
        <v>#REF!</v>
      </c>
      <c r="Y172" s="13" t="e">
        <f t="shared" si="43"/>
        <v>#REF!</v>
      </c>
      <c r="Z172" s="13" t="e">
        <f t="shared" si="44"/>
        <v>#REF!</v>
      </c>
      <c r="AA172" s="13" t="e">
        <f t="shared" si="45"/>
        <v>#REF!</v>
      </c>
    </row>
    <row r="173" spans="2:27" x14ac:dyDescent="0.2">
      <c r="B173" s="9">
        <v>33</v>
      </c>
      <c r="C173" s="9" t="s">
        <v>46</v>
      </c>
      <c r="D173" s="10" t="s">
        <v>21</v>
      </c>
      <c r="E173" s="19" t="s">
        <v>12</v>
      </c>
      <c r="F173" s="10" t="str">
        <f t="shared" si="71"/>
        <v>33ELPPREMIUM</v>
      </c>
      <c r="G173" s="13">
        <v>22.935599999999997</v>
      </c>
      <c r="H173" s="13">
        <v>21.134699999999999</v>
      </c>
      <c r="I173" s="13">
        <v>19.965149999999998</v>
      </c>
      <c r="J173" s="13">
        <v>19.965149999999998</v>
      </c>
      <c r="K173" s="13">
        <v>19.965149999999998</v>
      </c>
      <c r="M173" s="13">
        <f t="shared" si="40"/>
        <v>10.81</v>
      </c>
      <c r="O173" s="13" t="e">
        <f>#REF!</f>
        <v>#REF!</v>
      </c>
      <c r="P173" s="13" t="e">
        <f>#REF!</f>
        <v>#REF!</v>
      </c>
      <c r="Q173" s="13" t="e">
        <f>#REF!</f>
        <v>#REF!</v>
      </c>
      <c r="R173" s="22" t="e">
        <f t="shared" ref="R173:S173" si="76">Q173</f>
        <v>#REF!</v>
      </c>
      <c r="S173" s="22" t="e">
        <f t="shared" si="76"/>
        <v>#REF!</v>
      </c>
      <c r="U173" s="13" t="e">
        <f>#REF!</f>
        <v>#REF!</v>
      </c>
      <c r="W173" s="13" t="e">
        <f t="shared" si="41"/>
        <v>#REF!</v>
      </c>
      <c r="X173" s="13" t="e">
        <f t="shared" si="42"/>
        <v>#REF!</v>
      </c>
      <c r="Y173" s="13" t="e">
        <f t="shared" si="43"/>
        <v>#REF!</v>
      </c>
      <c r="Z173" s="13" t="e">
        <f t="shared" si="44"/>
        <v>#REF!</v>
      </c>
      <c r="AA173" s="13" t="e">
        <f t="shared" si="45"/>
        <v>#REF!</v>
      </c>
    </row>
    <row r="174" spans="2:27" x14ac:dyDescent="0.2">
      <c r="B174" s="9">
        <v>34</v>
      </c>
      <c r="C174" s="9" t="s">
        <v>46</v>
      </c>
      <c r="D174" s="10" t="s">
        <v>21</v>
      </c>
      <c r="E174" s="19" t="s">
        <v>12</v>
      </c>
      <c r="F174" s="10" t="str">
        <f t="shared" si="71"/>
        <v>34ELPPREMIUM</v>
      </c>
      <c r="G174" s="13">
        <v>26.268299999999996</v>
      </c>
      <c r="H174" s="13">
        <v>24.415649999999999</v>
      </c>
      <c r="I174" s="13">
        <v>23.183999999999997</v>
      </c>
      <c r="J174" s="13">
        <v>23.183999999999997</v>
      </c>
      <c r="K174" s="13">
        <v>23.183999999999997</v>
      </c>
      <c r="M174" s="13">
        <f t="shared" si="40"/>
        <v>10.81</v>
      </c>
      <c r="O174" s="13" t="e">
        <f>#REF!</f>
        <v>#REF!</v>
      </c>
      <c r="P174" s="13" t="e">
        <f>#REF!</f>
        <v>#REF!</v>
      </c>
      <c r="Q174" s="13" t="e">
        <f>#REF!</f>
        <v>#REF!</v>
      </c>
      <c r="R174" s="22" t="e">
        <f t="shared" ref="R174:S174" si="77">Q174</f>
        <v>#REF!</v>
      </c>
      <c r="S174" s="22" t="e">
        <f t="shared" si="77"/>
        <v>#REF!</v>
      </c>
      <c r="U174" s="13" t="e">
        <f>#REF!</f>
        <v>#REF!</v>
      </c>
      <c r="W174" s="13" t="e">
        <f t="shared" si="41"/>
        <v>#REF!</v>
      </c>
      <c r="X174" s="13" t="e">
        <f t="shared" si="42"/>
        <v>#REF!</v>
      </c>
      <c r="Y174" s="13" t="e">
        <f t="shared" si="43"/>
        <v>#REF!</v>
      </c>
      <c r="Z174" s="13" t="e">
        <f t="shared" si="44"/>
        <v>#REF!</v>
      </c>
      <c r="AA174" s="13" t="e">
        <f t="shared" si="45"/>
        <v>#REF!</v>
      </c>
    </row>
    <row r="175" spans="2:27" x14ac:dyDescent="0.2">
      <c r="B175" s="9">
        <v>35</v>
      </c>
      <c r="C175" s="9" t="s">
        <v>46</v>
      </c>
      <c r="D175" s="10" t="s">
        <v>21</v>
      </c>
      <c r="E175" s="19" t="s">
        <v>12</v>
      </c>
      <c r="F175" s="10" t="str">
        <f t="shared" si="71"/>
        <v>35ELPPREMIUM</v>
      </c>
      <c r="G175" s="13">
        <v>28.545299999999997</v>
      </c>
      <c r="H175" s="13">
        <v>26.744399999999999</v>
      </c>
      <c r="I175" s="13">
        <v>25.543799999999997</v>
      </c>
      <c r="J175" s="13">
        <v>25.543799999999997</v>
      </c>
      <c r="K175" s="13">
        <v>25.543799999999997</v>
      </c>
      <c r="M175" s="13">
        <f t="shared" si="40"/>
        <v>10.81</v>
      </c>
      <c r="O175" s="13" t="e">
        <f>#REF!</f>
        <v>#REF!</v>
      </c>
      <c r="P175" s="13" t="e">
        <f>#REF!</f>
        <v>#REF!</v>
      </c>
      <c r="Q175" s="13" t="e">
        <f>#REF!</f>
        <v>#REF!</v>
      </c>
      <c r="R175" s="22" t="e">
        <f t="shared" ref="R175:S175" si="78">Q175</f>
        <v>#REF!</v>
      </c>
      <c r="S175" s="22" t="e">
        <f t="shared" si="78"/>
        <v>#REF!</v>
      </c>
      <c r="U175" s="13" t="e">
        <f>#REF!</f>
        <v>#REF!</v>
      </c>
      <c r="W175" s="13" t="e">
        <f t="shared" si="41"/>
        <v>#REF!</v>
      </c>
      <c r="X175" s="13" t="e">
        <f t="shared" si="42"/>
        <v>#REF!</v>
      </c>
      <c r="Y175" s="13" t="e">
        <f t="shared" si="43"/>
        <v>#REF!</v>
      </c>
      <c r="Z175" s="13" t="e">
        <f t="shared" si="44"/>
        <v>#REF!</v>
      </c>
      <c r="AA175" s="13" t="e">
        <f t="shared" si="45"/>
        <v>#REF!</v>
      </c>
    </row>
    <row r="176" spans="2:27" x14ac:dyDescent="0.2">
      <c r="B176" s="9">
        <v>41</v>
      </c>
      <c r="C176" s="9" t="s">
        <v>38</v>
      </c>
      <c r="D176" s="10" t="s">
        <v>21</v>
      </c>
      <c r="E176" s="19" t="s">
        <v>12</v>
      </c>
      <c r="F176" s="10" t="str">
        <f t="shared" si="71"/>
        <v>41ELPPREMIUM</v>
      </c>
      <c r="G176" s="14">
        <v>15.55</v>
      </c>
      <c r="H176" s="14">
        <v>14</v>
      </c>
      <c r="I176" s="14">
        <v>12.9</v>
      </c>
      <c r="J176" s="14">
        <v>12.9</v>
      </c>
      <c r="K176" s="14">
        <v>12.9</v>
      </c>
      <c r="M176" s="14">
        <f t="shared" si="40"/>
        <v>9.76</v>
      </c>
      <c r="O176" s="14" t="e">
        <f>#REF!</f>
        <v>#REF!</v>
      </c>
      <c r="P176" s="14" t="e">
        <f>#REF!</f>
        <v>#REF!</v>
      </c>
      <c r="Q176" s="14" t="e">
        <f>#REF!</f>
        <v>#REF!</v>
      </c>
      <c r="R176" s="22" t="e">
        <f t="shared" ref="R176:S176" si="79">Q176</f>
        <v>#REF!</v>
      </c>
      <c r="S176" s="22" t="e">
        <f t="shared" si="79"/>
        <v>#REF!</v>
      </c>
      <c r="U176" s="14" t="e">
        <f>#REF!</f>
        <v>#REF!</v>
      </c>
      <c r="W176" s="14" t="e">
        <f t="shared" si="41"/>
        <v>#REF!</v>
      </c>
      <c r="X176" s="14" t="e">
        <f t="shared" si="42"/>
        <v>#REF!</v>
      </c>
      <c r="Y176" s="14" t="e">
        <f t="shared" si="43"/>
        <v>#REF!</v>
      </c>
      <c r="Z176" s="14" t="e">
        <f t="shared" si="44"/>
        <v>#REF!</v>
      </c>
      <c r="AA176" s="14" t="e">
        <f t="shared" si="45"/>
        <v>#REF!</v>
      </c>
    </row>
    <row r="177" spans="2:27" x14ac:dyDescent="0.2">
      <c r="B177" s="9">
        <v>42</v>
      </c>
      <c r="C177" s="9" t="s">
        <v>38</v>
      </c>
      <c r="D177" s="10" t="s">
        <v>21</v>
      </c>
      <c r="E177" s="19" t="s">
        <v>12</v>
      </c>
      <c r="F177" s="10" t="str">
        <f t="shared" si="71"/>
        <v>42ELPPREMIUM</v>
      </c>
      <c r="G177" s="14">
        <v>17.55</v>
      </c>
      <c r="H177" s="14">
        <v>16.2</v>
      </c>
      <c r="I177" s="14">
        <v>15.1</v>
      </c>
      <c r="J177" s="14">
        <v>15.1</v>
      </c>
      <c r="K177" s="14">
        <v>15.1</v>
      </c>
      <c r="M177" s="14">
        <f t="shared" si="40"/>
        <v>9.76</v>
      </c>
      <c r="O177" s="14" t="e">
        <f>#REF!</f>
        <v>#REF!</v>
      </c>
      <c r="P177" s="14" t="e">
        <f>#REF!</f>
        <v>#REF!</v>
      </c>
      <c r="Q177" s="14" t="e">
        <f>#REF!</f>
        <v>#REF!</v>
      </c>
      <c r="R177" s="22" t="e">
        <f t="shared" ref="R177:S177" si="80">Q177</f>
        <v>#REF!</v>
      </c>
      <c r="S177" s="22" t="e">
        <f t="shared" si="80"/>
        <v>#REF!</v>
      </c>
      <c r="U177" s="14" t="e">
        <f>#REF!</f>
        <v>#REF!</v>
      </c>
      <c r="W177" s="14" t="e">
        <f t="shared" si="41"/>
        <v>#REF!</v>
      </c>
      <c r="X177" s="14" t="e">
        <f t="shared" si="42"/>
        <v>#REF!</v>
      </c>
      <c r="Y177" s="14" t="e">
        <f t="shared" si="43"/>
        <v>#REF!</v>
      </c>
      <c r="Z177" s="14" t="e">
        <f t="shared" si="44"/>
        <v>#REF!</v>
      </c>
      <c r="AA177" s="14" t="e">
        <f t="shared" si="45"/>
        <v>#REF!</v>
      </c>
    </row>
    <row r="178" spans="2:27" x14ac:dyDescent="0.2">
      <c r="B178" s="9">
        <v>43</v>
      </c>
      <c r="C178" s="9" t="s">
        <v>38</v>
      </c>
      <c r="D178" s="10" t="s">
        <v>21</v>
      </c>
      <c r="E178" s="19" t="s">
        <v>12</v>
      </c>
      <c r="F178" s="10" t="str">
        <f t="shared" si="71"/>
        <v>43ELPPREMIUM</v>
      </c>
      <c r="G178" s="14">
        <v>20.55</v>
      </c>
      <c r="H178" s="14">
        <v>19</v>
      </c>
      <c r="I178" s="14">
        <v>17.899999999999999</v>
      </c>
      <c r="J178" s="14">
        <v>17.899999999999999</v>
      </c>
      <c r="K178" s="14">
        <v>17.899999999999999</v>
      </c>
      <c r="M178" s="14">
        <f t="shared" si="40"/>
        <v>9.76</v>
      </c>
      <c r="O178" s="14" t="e">
        <f>#REF!</f>
        <v>#REF!</v>
      </c>
      <c r="P178" s="14" t="e">
        <f>#REF!</f>
        <v>#REF!</v>
      </c>
      <c r="Q178" s="14" t="e">
        <f>#REF!</f>
        <v>#REF!</v>
      </c>
      <c r="R178" s="22" t="e">
        <f t="shared" ref="R178:S178" si="81">Q178</f>
        <v>#REF!</v>
      </c>
      <c r="S178" s="22" t="e">
        <f t="shared" si="81"/>
        <v>#REF!</v>
      </c>
      <c r="U178" s="14" t="e">
        <f>#REF!</f>
        <v>#REF!</v>
      </c>
      <c r="W178" s="14" t="e">
        <f t="shared" si="41"/>
        <v>#REF!</v>
      </c>
      <c r="X178" s="14" t="e">
        <f t="shared" si="42"/>
        <v>#REF!</v>
      </c>
      <c r="Y178" s="14" t="e">
        <f t="shared" si="43"/>
        <v>#REF!</v>
      </c>
      <c r="Z178" s="14" t="e">
        <f t="shared" si="44"/>
        <v>#REF!</v>
      </c>
      <c r="AA178" s="14" t="e">
        <f t="shared" si="45"/>
        <v>#REF!</v>
      </c>
    </row>
    <row r="179" spans="2:27" x14ac:dyDescent="0.2">
      <c r="B179" s="9">
        <v>44</v>
      </c>
      <c r="C179" s="9" t="s">
        <v>38</v>
      </c>
      <c r="D179" s="10" t="s">
        <v>21</v>
      </c>
      <c r="E179" s="19" t="s">
        <v>12</v>
      </c>
      <c r="F179" s="10" t="str">
        <f t="shared" si="71"/>
        <v>44ELPPREMIUM</v>
      </c>
      <c r="G179" s="14">
        <v>83.35</v>
      </c>
      <c r="H179" s="14">
        <v>82.33</v>
      </c>
      <c r="I179" s="14">
        <v>81.31</v>
      </c>
      <c r="J179" s="14">
        <v>81.31</v>
      </c>
      <c r="K179" s="14">
        <v>81.31</v>
      </c>
      <c r="M179" s="14">
        <f t="shared" si="40"/>
        <v>9.76</v>
      </c>
      <c r="O179" s="14" t="e">
        <f>#REF!</f>
        <v>#REF!</v>
      </c>
      <c r="P179" s="14" t="e">
        <f>#REF!</f>
        <v>#REF!</v>
      </c>
      <c r="Q179" s="14" t="e">
        <f>#REF!</f>
        <v>#REF!</v>
      </c>
      <c r="R179" s="22" t="e">
        <f t="shared" ref="R179:S179" si="82">Q179</f>
        <v>#REF!</v>
      </c>
      <c r="S179" s="22" t="e">
        <f t="shared" si="82"/>
        <v>#REF!</v>
      </c>
      <c r="U179" s="14" t="e">
        <f>#REF!</f>
        <v>#REF!</v>
      </c>
      <c r="W179" s="14" t="e">
        <f t="shared" si="41"/>
        <v>#REF!</v>
      </c>
      <c r="X179" s="14" t="e">
        <f t="shared" si="42"/>
        <v>#REF!</v>
      </c>
      <c r="Y179" s="14" t="e">
        <f t="shared" si="43"/>
        <v>#REF!</v>
      </c>
      <c r="Z179" s="14" t="e">
        <f t="shared" si="44"/>
        <v>#REF!</v>
      </c>
      <c r="AA179" s="14" t="e">
        <f t="shared" si="45"/>
        <v>#REF!</v>
      </c>
    </row>
    <row r="180" spans="2:27" x14ac:dyDescent="0.2">
      <c r="B180" s="9">
        <v>45</v>
      </c>
      <c r="C180" s="9" t="s">
        <v>38</v>
      </c>
      <c r="D180" s="10" t="s">
        <v>21</v>
      </c>
      <c r="E180" s="19" t="s">
        <v>12</v>
      </c>
      <c r="F180" s="10" t="str">
        <f t="shared" si="71"/>
        <v>45ELPPREMIUM</v>
      </c>
      <c r="G180" s="14">
        <v>86.41</v>
      </c>
      <c r="H180" s="14">
        <v>85.39</v>
      </c>
      <c r="I180" s="14">
        <v>84.37</v>
      </c>
      <c r="J180" s="14">
        <v>84.37</v>
      </c>
      <c r="K180" s="14">
        <v>84.37</v>
      </c>
      <c r="M180" s="14">
        <f t="shared" si="40"/>
        <v>9.76</v>
      </c>
      <c r="O180" s="14" t="e">
        <f>#REF!</f>
        <v>#REF!</v>
      </c>
      <c r="P180" s="14" t="e">
        <f>#REF!</f>
        <v>#REF!</v>
      </c>
      <c r="Q180" s="14" t="e">
        <f>#REF!</f>
        <v>#REF!</v>
      </c>
      <c r="R180" s="22" t="e">
        <f t="shared" ref="R180:S180" si="83">Q180</f>
        <v>#REF!</v>
      </c>
      <c r="S180" s="22" t="e">
        <f t="shared" si="83"/>
        <v>#REF!</v>
      </c>
      <c r="U180" s="14" t="e">
        <f>#REF!</f>
        <v>#REF!</v>
      </c>
      <c r="W180" s="14" t="e">
        <f t="shared" si="41"/>
        <v>#REF!</v>
      </c>
      <c r="X180" s="14" t="e">
        <f t="shared" si="42"/>
        <v>#REF!</v>
      </c>
      <c r="Y180" s="14" t="e">
        <f t="shared" si="43"/>
        <v>#REF!</v>
      </c>
      <c r="Z180" s="14" t="e">
        <f t="shared" si="44"/>
        <v>#REF!</v>
      </c>
      <c r="AA180" s="14" t="e">
        <f t="shared" si="45"/>
        <v>#REF!</v>
      </c>
    </row>
    <row r="181" spans="2:27" x14ac:dyDescent="0.2">
      <c r="B181" s="9">
        <v>51</v>
      </c>
      <c r="C181" s="9" t="s">
        <v>39</v>
      </c>
      <c r="D181" s="10" t="s">
        <v>21</v>
      </c>
      <c r="E181" s="19" t="s">
        <v>12</v>
      </c>
      <c r="F181" s="10" t="str">
        <f t="shared" si="71"/>
        <v>51ELPPREMIUM</v>
      </c>
      <c r="G181" s="18">
        <v>15.55</v>
      </c>
      <c r="H181" s="18">
        <v>14</v>
      </c>
      <c r="I181" s="18">
        <v>12.9</v>
      </c>
      <c r="J181" s="18">
        <v>12.9</v>
      </c>
      <c r="K181" s="18">
        <v>12.9</v>
      </c>
      <c r="M181" s="18">
        <f t="shared" si="40"/>
        <v>9.76</v>
      </c>
      <c r="O181" s="18" t="e">
        <f>#REF!</f>
        <v>#REF!</v>
      </c>
      <c r="P181" s="18" t="e">
        <f>#REF!</f>
        <v>#REF!</v>
      </c>
      <c r="Q181" s="18" t="e">
        <f>#REF!</f>
        <v>#REF!</v>
      </c>
      <c r="R181" s="22" t="e">
        <f t="shared" ref="R181:S181" si="84">Q181</f>
        <v>#REF!</v>
      </c>
      <c r="S181" s="22" t="e">
        <f t="shared" si="84"/>
        <v>#REF!</v>
      </c>
      <c r="U181" s="18" t="e">
        <f>#REF!</f>
        <v>#REF!</v>
      </c>
      <c r="W181" s="18" t="e">
        <f t="shared" si="41"/>
        <v>#REF!</v>
      </c>
      <c r="X181" s="18" t="e">
        <f t="shared" si="42"/>
        <v>#REF!</v>
      </c>
      <c r="Y181" s="18" t="e">
        <f t="shared" si="43"/>
        <v>#REF!</v>
      </c>
      <c r="Z181" s="18" t="e">
        <f t="shared" si="44"/>
        <v>#REF!</v>
      </c>
      <c r="AA181" s="18" t="e">
        <f t="shared" si="45"/>
        <v>#REF!</v>
      </c>
    </row>
    <row r="182" spans="2:27" x14ac:dyDescent="0.2">
      <c r="B182" s="9">
        <v>52</v>
      </c>
      <c r="C182" s="9" t="s">
        <v>39</v>
      </c>
      <c r="D182" s="10" t="s">
        <v>21</v>
      </c>
      <c r="E182" s="19" t="s">
        <v>12</v>
      </c>
      <c r="F182" s="10" t="str">
        <f t="shared" si="71"/>
        <v>52ELPPREMIUM</v>
      </c>
      <c r="G182" s="18">
        <v>17.55</v>
      </c>
      <c r="H182" s="18">
        <v>16.2</v>
      </c>
      <c r="I182" s="18">
        <v>15.1</v>
      </c>
      <c r="J182" s="18">
        <v>15.1</v>
      </c>
      <c r="K182" s="18">
        <v>15.1</v>
      </c>
      <c r="M182" s="18">
        <f t="shared" si="40"/>
        <v>9.76</v>
      </c>
      <c r="O182" s="18" t="e">
        <f>#REF!</f>
        <v>#REF!</v>
      </c>
      <c r="P182" s="18" t="e">
        <f>#REF!</f>
        <v>#REF!</v>
      </c>
      <c r="Q182" s="18" t="e">
        <f>#REF!</f>
        <v>#REF!</v>
      </c>
      <c r="R182" s="22" t="e">
        <f t="shared" ref="R182:S182" si="85">Q182</f>
        <v>#REF!</v>
      </c>
      <c r="S182" s="22" t="e">
        <f t="shared" si="85"/>
        <v>#REF!</v>
      </c>
      <c r="U182" s="18" t="e">
        <f>#REF!</f>
        <v>#REF!</v>
      </c>
      <c r="W182" s="18" t="e">
        <f t="shared" si="41"/>
        <v>#REF!</v>
      </c>
      <c r="X182" s="18" t="e">
        <f t="shared" si="42"/>
        <v>#REF!</v>
      </c>
      <c r="Y182" s="18" t="e">
        <f t="shared" si="43"/>
        <v>#REF!</v>
      </c>
      <c r="Z182" s="18" t="e">
        <f t="shared" si="44"/>
        <v>#REF!</v>
      </c>
      <c r="AA182" s="18" t="e">
        <f t="shared" si="45"/>
        <v>#REF!</v>
      </c>
    </row>
    <row r="183" spans="2:27" x14ac:dyDescent="0.2">
      <c r="B183" s="9">
        <v>53</v>
      </c>
      <c r="C183" s="9" t="s">
        <v>39</v>
      </c>
      <c r="D183" s="10" t="s">
        <v>21</v>
      </c>
      <c r="E183" s="19" t="s">
        <v>12</v>
      </c>
      <c r="F183" s="10" t="str">
        <f t="shared" si="71"/>
        <v>53ELPPREMIUM</v>
      </c>
      <c r="G183" s="18">
        <v>20.55</v>
      </c>
      <c r="H183" s="18">
        <v>19</v>
      </c>
      <c r="I183" s="18">
        <v>17.899999999999999</v>
      </c>
      <c r="J183" s="18">
        <v>17.899999999999999</v>
      </c>
      <c r="K183" s="18">
        <v>17.899999999999999</v>
      </c>
      <c r="M183" s="18">
        <f t="shared" si="40"/>
        <v>9.76</v>
      </c>
      <c r="O183" s="18" t="e">
        <f>#REF!</f>
        <v>#REF!</v>
      </c>
      <c r="P183" s="18" t="e">
        <f>#REF!</f>
        <v>#REF!</v>
      </c>
      <c r="Q183" s="18" t="e">
        <f>#REF!</f>
        <v>#REF!</v>
      </c>
      <c r="R183" s="22" t="e">
        <f t="shared" ref="R183:S183" si="86">Q183</f>
        <v>#REF!</v>
      </c>
      <c r="S183" s="22" t="e">
        <f t="shared" si="86"/>
        <v>#REF!</v>
      </c>
      <c r="U183" s="18" t="e">
        <f>#REF!</f>
        <v>#REF!</v>
      </c>
      <c r="W183" s="18" t="e">
        <f t="shared" si="41"/>
        <v>#REF!</v>
      </c>
      <c r="X183" s="18" t="e">
        <f t="shared" si="42"/>
        <v>#REF!</v>
      </c>
      <c r="Y183" s="18" t="e">
        <f t="shared" si="43"/>
        <v>#REF!</v>
      </c>
      <c r="Z183" s="18" t="e">
        <f t="shared" si="44"/>
        <v>#REF!</v>
      </c>
      <c r="AA183" s="18" t="e">
        <f t="shared" si="45"/>
        <v>#REF!</v>
      </c>
    </row>
    <row r="184" spans="2:27" x14ac:dyDescent="0.2">
      <c r="B184" s="9">
        <v>54</v>
      </c>
      <c r="C184" s="9" t="s">
        <v>39</v>
      </c>
      <c r="D184" s="10" t="s">
        <v>21</v>
      </c>
      <c r="E184" s="19" t="s">
        <v>12</v>
      </c>
      <c r="F184" s="10" t="str">
        <f t="shared" si="71"/>
        <v>54ELPPREMIUM</v>
      </c>
      <c r="G184" s="18">
        <v>23.55</v>
      </c>
      <c r="H184" s="18">
        <v>21.8</v>
      </c>
      <c r="I184" s="18">
        <v>20.7</v>
      </c>
      <c r="J184" s="18">
        <v>20.7</v>
      </c>
      <c r="K184" s="18">
        <v>20.7</v>
      </c>
      <c r="M184" s="18">
        <f t="shared" si="40"/>
        <v>9.76</v>
      </c>
      <c r="O184" s="18" t="e">
        <f>#REF!</f>
        <v>#REF!</v>
      </c>
      <c r="P184" s="18" t="e">
        <f>#REF!</f>
        <v>#REF!</v>
      </c>
      <c r="Q184" s="18" t="e">
        <f>#REF!</f>
        <v>#REF!</v>
      </c>
      <c r="R184" s="22" t="e">
        <f t="shared" ref="R184:S184" si="87">Q184</f>
        <v>#REF!</v>
      </c>
      <c r="S184" s="22" t="e">
        <f t="shared" si="87"/>
        <v>#REF!</v>
      </c>
      <c r="U184" s="18" t="e">
        <f>#REF!</f>
        <v>#REF!</v>
      </c>
      <c r="W184" s="18" t="e">
        <f t="shared" si="41"/>
        <v>#REF!</v>
      </c>
      <c r="X184" s="18" t="e">
        <f t="shared" si="42"/>
        <v>#REF!</v>
      </c>
      <c r="Y184" s="18" t="e">
        <f t="shared" si="43"/>
        <v>#REF!</v>
      </c>
      <c r="Z184" s="18" t="e">
        <f t="shared" si="44"/>
        <v>#REF!</v>
      </c>
      <c r="AA184" s="18" t="e">
        <f t="shared" si="45"/>
        <v>#REF!</v>
      </c>
    </row>
    <row r="185" spans="2:27" x14ac:dyDescent="0.2">
      <c r="B185" s="9">
        <v>1</v>
      </c>
      <c r="C185" s="9" t="s">
        <v>36</v>
      </c>
      <c r="D185" s="10" t="s">
        <v>21</v>
      </c>
      <c r="E185" s="20" t="s">
        <v>18</v>
      </c>
      <c r="F185" s="10" t="str">
        <f t="shared" si="71"/>
        <v>1ELPECONOMY</v>
      </c>
      <c r="G185" s="11">
        <v>18.285999999999998</v>
      </c>
      <c r="H185" s="11">
        <v>16.564</v>
      </c>
      <c r="I185" s="11">
        <v>15.405749999999998</v>
      </c>
      <c r="J185" s="11">
        <v>15.405749999999998</v>
      </c>
      <c r="K185" s="11">
        <v>15.405749999999998</v>
      </c>
      <c r="M185" s="11">
        <f t="shared" si="40"/>
        <v>11.61</v>
      </c>
      <c r="O185" s="11" t="e">
        <f>#REF!</f>
        <v>#REF!</v>
      </c>
      <c r="P185" s="11" t="e">
        <f>#REF!</f>
        <v>#REF!</v>
      </c>
      <c r="Q185" s="11" t="e">
        <f>#REF!</f>
        <v>#REF!</v>
      </c>
      <c r="R185" s="22" t="e">
        <f>Q185</f>
        <v>#REF!</v>
      </c>
      <c r="S185" s="22" t="e">
        <f>R185</f>
        <v>#REF!</v>
      </c>
      <c r="U185" s="11" t="e">
        <f>#REF!</f>
        <v>#REF!</v>
      </c>
      <c r="W185" s="11" t="e">
        <f t="shared" si="41"/>
        <v>#REF!</v>
      </c>
      <c r="X185" s="11" t="e">
        <f t="shared" si="42"/>
        <v>#REF!</v>
      </c>
      <c r="Y185" s="11" t="e">
        <f t="shared" si="43"/>
        <v>#REF!</v>
      </c>
      <c r="Z185" s="11" t="e">
        <f t="shared" si="44"/>
        <v>#REF!</v>
      </c>
      <c r="AA185" s="11" t="e">
        <f t="shared" si="45"/>
        <v>#REF!</v>
      </c>
    </row>
    <row r="186" spans="2:27" x14ac:dyDescent="0.2">
      <c r="B186" s="9">
        <v>2</v>
      </c>
      <c r="C186" s="9" t="s">
        <v>36</v>
      </c>
      <c r="D186" s="10" t="s">
        <v>21</v>
      </c>
      <c r="E186" s="20" t="s">
        <v>18</v>
      </c>
      <c r="F186" s="10" t="str">
        <f t="shared" si="71"/>
        <v>2ELPECONOMY</v>
      </c>
      <c r="G186" s="11">
        <v>20.028499999999998</v>
      </c>
      <c r="H186" s="11">
        <v>18.870249999999999</v>
      </c>
      <c r="I186" s="11">
        <v>17.712</v>
      </c>
      <c r="J186" s="11">
        <v>17.712</v>
      </c>
      <c r="K186" s="11">
        <v>17.712</v>
      </c>
      <c r="M186" s="11">
        <f t="shared" si="40"/>
        <v>11.61</v>
      </c>
      <c r="O186" s="11" t="e">
        <f>#REF!</f>
        <v>#REF!</v>
      </c>
      <c r="P186" s="11" t="e">
        <f>#REF!</f>
        <v>#REF!</v>
      </c>
      <c r="Q186" s="11" t="e">
        <f>#REF!</f>
        <v>#REF!</v>
      </c>
      <c r="R186" s="22" t="e">
        <f t="shared" ref="R186:S186" si="88">Q186</f>
        <v>#REF!</v>
      </c>
      <c r="S186" s="22" t="e">
        <f t="shared" si="88"/>
        <v>#REF!</v>
      </c>
      <c r="U186" s="11" t="e">
        <f>#REF!</f>
        <v>#REF!</v>
      </c>
      <c r="W186" s="11" t="e">
        <f t="shared" si="41"/>
        <v>#REF!</v>
      </c>
      <c r="X186" s="11" t="e">
        <f t="shared" si="42"/>
        <v>#REF!</v>
      </c>
      <c r="Y186" s="11" t="e">
        <f t="shared" si="43"/>
        <v>#REF!</v>
      </c>
      <c r="Z186" s="11" t="e">
        <f t="shared" si="44"/>
        <v>#REF!</v>
      </c>
      <c r="AA186" s="11" t="e">
        <f t="shared" si="45"/>
        <v>#REF!</v>
      </c>
    </row>
    <row r="187" spans="2:27" x14ac:dyDescent="0.2">
      <c r="B187" s="9">
        <v>3</v>
      </c>
      <c r="C187" s="9" t="s">
        <v>36</v>
      </c>
      <c r="D187" s="10" t="s">
        <v>21</v>
      </c>
      <c r="E187" s="20" t="s">
        <v>18</v>
      </c>
      <c r="F187" s="10" t="str">
        <f t="shared" si="71"/>
        <v>3ELPECONOMY</v>
      </c>
      <c r="G187" s="11">
        <v>22.385999999999999</v>
      </c>
      <c r="H187" s="11">
        <v>21.237999999999996</v>
      </c>
      <c r="I187" s="11">
        <v>20.079749999999997</v>
      </c>
      <c r="J187" s="11">
        <v>20.079749999999997</v>
      </c>
      <c r="K187" s="11">
        <v>20.079749999999997</v>
      </c>
      <c r="M187" s="11">
        <f t="shared" si="40"/>
        <v>11.61</v>
      </c>
      <c r="O187" s="11" t="e">
        <f>#REF!</f>
        <v>#REF!</v>
      </c>
      <c r="P187" s="11" t="e">
        <f>#REF!</f>
        <v>#REF!</v>
      </c>
      <c r="Q187" s="11" t="e">
        <f>#REF!</f>
        <v>#REF!</v>
      </c>
      <c r="R187" s="22" t="e">
        <f t="shared" ref="R187:S187" si="89">Q187</f>
        <v>#REF!</v>
      </c>
      <c r="S187" s="22" t="e">
        <f t="shared" si="89"/>
        <v>#REF!</v>
      </c>
      <c r="U187" s="11" t="e">
        <f>#REF!</f>
        <v>#REF!</v>
      </c>
      <c r="W187" s="11" t="e">
        <f t="shared" si="41"/>
        <v>#REF!</v>
      </c>
      <c r="X187" s="11" t="e">
        <f t="shared" si="42"/>
        <v>#REF!</v>
      </c>
      <c r="Y187" s="11" t="e">
        <f t="shared" si="43"/>
        <v>#REF!</v>
      </c>
      <c r="Z187" s="11" t="e">
        <f t="shared" si="44"/>
        <v>#REF!</v>
      </c>
      <c r="AA187" s="11" t="e">
        <f t="shared" si="45"/>
        <v>#REF!</v>
      </c>
    </row>
    <row r="188" spans="2:27" x14ac:dyDescent="0.2">
      <c r="B188" s="9">
        <v>4</v>
      </c>
      <c r="C188" s="9" t="s">
        <v>36</v>
      </c>
      <c r="D188" s="10" t="s">
        <v>21</v>
      </c>
      <c r="E188" s="20" t="s">
        <v>18</v>
      </c>
      <c r="F188" s="10" t="str">
        <f t="shared" si="71"/>
        <v>4ELPECONOMY</v>
      </c>
      <c r="G188" s="11">
        <v>25.276499999999999</v>
      </c>
      <c r="H188" s="11">
        <v>24.692249999999998</v>
      </c>
      <c r="I188" s="11">
        <v>24.128499999999995</v>
      </c>
      <c r="J188" s="11">
        <v>24.128499999999995</v>
      </c>
      <c r="K188" s="11">
        <v>24.128499999999995</v>
      </c>
      <c r="M188" s="11">
        <f t="shared" si="40"/>
        <v>11.61</v>
      </c>
      <c r="O188" s="11" t="e">
        <f>#REF!</f>
        <v>#REF!</v>
      </c>
      <c r="P188" s="11" t="e">
        <f>#REF!</f>
        <v>#REF!</v>
      </c>
      <c r="Q188" s="11" t="e">
        <f>#REF!</f>
        <v>#REF!</v>
      </c>
      <c r="R188" s="22" t="e">
        <f t="shared" ref="R188:S188" si="90">Q188</f>
        <v>#REF!</v>
      </c>
      <c r="S188" s="22" t="e">
        <f t="shared" si="90"/>
        <v>#REF!</v>
      </c>
      <c r="U188" s="11" t="e">
        <f>#REF!</f>
        <v>#REF!</v>
      </c>
      <c r="W188" s="11" t="e">
        <f t="shared" si="41"/>
        <v>#REF!</v>
      </c>
      <c r="X188" s="11" t="e">
        <f t="shared" si="42"/>
        <v>#REF!</v>
      </c>
      <c r="Y188" s="11" t="e">
        <f t="shared" si="43"/>
        <v>#REF!</v>
      </c>
      <c r="Z188" s="11" t="e">
        <f t="shared" si="44"/>
        <v>#REF!</v>
      </c>
      <c r="AA188" s="11" t="e">
        <f t="shared" si="45"/>
        <v>#REF!</v>
      </c>
    </row>
    <row r="189" spans="2:27" x14ac:dyDescent="0.2">
      <c r="B189" s="9">
        <v>5</v>
      </c>
      <c r="C189" s="9" t="s">
        <v>36</v>
      </c>
      <c r="D189" s="10" t="s">
        <v>21</v>
      </c>
      <c r="E189" s="20" t="s">
        <v>18</v>
      </c>
      <c r="F189" s="10" t="str">
        <f t="shared" si="71"/>
        <v>5ELPECONOMY</v>
      </c>
      <c r="G189" s="11">
        <v>28.105499999999999</v>
      </c>
      <c r="H189" s="11">
        <v>27.521249999999998</v>
      </c>
      <c r="I189" s="11">
        <v>26.926749999999998</v>
      </c>
      <c r="J189" s="11">
        <v>26.926749999999998</v>
      </c>
      <c r="K189" s="11">
        <v>26.926749999999998</v>
      </c>
      <c r="M189" s="11">
        <f t="shared" si="40"/>
        <v>11.61</v>
      </c>
      <c r="O189" s="11" t="e">
        <f>#REF!</f>
        <v>#REF!</v>
      </c>
      <c r="P189" s="11" t="e">
        <f>#REF!</f>
        <v>#REF!</v>
      </c>
      <c r="Q189" s="11" t="e">
        <f>#REF!</f>
        <v>#REF!</v>
      </c>
      <c r="R189" s="22" t="e">
        <f t="shared" ref="R189:S189" si="91">Q189</f>
        <v>#REF!</v>
      </c>
      <c r="S189" s="22" t="e">
        <f t="shared" si="91"/>
        <v>#REF!</v>
      </c>
      <c r="U189" s="11" t="e">
        <f>#REF!</f>
        <v>#REF!</v>
      </c>
      <c r="W189" s="11" t="e">
        <f t="shared" si="41"/>
        <v>#REF!</v>
      </c>
      <c r="X189" s="11" t="e">
        <f t="shared" si="42"/>
        <v>#REF!</v>
      </c>
      <c r="Y189" s="11" t="e">
        <f t="shared" si="43"/>
        <v>#REF!</v>
      </c>
      <c r="Z189" s="11" t="e">
        <f t="shared" si="44"/>
        <v>#REF!</v>
      </c>
      <c r="AA189" s="11" t="e">
        <f t="shared" si="45"/>
        <v>#REF!</v>
      </c>
    </row>
    <row r="190" spans="2:27" x14ac:dyDescent="0.2">
      <c r="B190" s="9">
        <v>6</v>
      </c>
      <c r="C190" s="9" t="s">
        <v>36</v>
      </c>
      <c r="D190" s="10" t="s">
        <v>21</v>
      </c>
      <c r="E190" s="20" t="s">
        <v>18</v>
      </c>
      <c r="F190" s="10" t="str">
        <f t="shared" si="71"/>
        <v>6ELPECONOMY</v>
      </c>
      <c r="G190" s="11">
        <v>33.394499999999994</v>
      </c>
      <c r="H190" s="11">
        <v>32.799999999999997</v>
      </c>
      <c r="I190" s="11">
        <v>32.225999999999999</v>
      </c>
      <c r="J190" s="11">
        <v>32.225999999999999</v>
      </c>
      <c r="K190" s="11">
        <v>32.225999999999999</v>
      </c>
      <c r="M190" s="11">
        <f t="shared" si="40"/>
        <v>11.61</v>
      </c>
      <c r="O190" s="11" t="e">
        <f>#REF!</f>
        <v>#REF!</v>
      </c>
      <c r="P190" s="11" t="e">
        <f>#REF!</f>
        <v>#REF!</v>
      </c>
      <c r="Q190" s="11" t="e">
        <f>#REF!</f>
        <v>#REF!</v>
      </c>
      <c r="R190" s="22" t="e">
        <f t="shared" ref="R190:S190" si="92">Q190</f>
        <v>#REF!</v>
      </c>
      <c r="S190" s="22" t="e">
        <f t="shared" si="92"/>
        <v>#REF!</v>
      </c>
      <c r="U190" s="11" t="e">
        <f>#REF!</f>
        <v>#REF!</v>
      </c>
      <c r="W190" s="11" t="e">
        <f t="shared" si="41"/>
        <v>#REF!</v>
      </c>
      <c r="X190" s="11" t="e">
        <f t="shared" si="42"/>
        <v>#REF!</v>
      </c>
      <c r="Y190" s="11" t="e">
        <f t="shared" si="43"/>
        <v>#REF!</v>
      </c>
      <c r="Z190" s="11" t="e">
        <f t="shared" si="44"/>
        <v>#REF!</v>
      </c>
      <c r="AA190" s="11" t="e">
        <f t="shared" si="45"/>
        <v>#REF!</v>
      </c>
    </row>
    <row r="191" spans="2:27" x14ac:dyDescent="0.2">
      <c r="B191" s="9">
        <v>7</v>
      </c>
      <c r="C191" s="9" t="s">
        <v>36</v>
      </c>
      <c r="D191" s="10" t="s">
        <v>21</v>
      </c>
      <c r="E191" s="20" t="s">
        <v>18</v>
      </c>
      <c r="F191" s="10" t="str">
        <f t="shared" si="71"/>
        <v>7ELPECONOMY</v>
      </c>
      <c r="G191" s="11">
        <v>40.856499999999997</v>
      </c>
      <c r="H191" s="11">
        <v>40.282499999999992</v>
      </c>
      <c r="I191" s="11">
        <v>39.698249999999994</v>
      </c>
      <c r="J191" s="11">
        <v>39.698249999999994</v>
      </c>
      <c r="K191" s="11">
        <v>39.698249999999994</v>
      </c>
      <c r="M191" s="11">
        <f t="shared" si="40"/>
        <v>11.61</v>
      </c>
      <c r="O191" s="11" t="e">
        <f>#REF!</f>
        <v>#REF!</v>
      </c>
      <c r="P191" s="11" t="e">
        <f>#REF!</f>
        <v>#REF!</v>
      </c>
      <c r="Q191" s="11" t="e">
        <f>#REF!</f>
        <v>#REF!</v>
      </c>
      <c r="R191" s="22" t="e">
        <f t="shared" ref="R191:S191" si="93">Q191</f>
        <v>#REF!</v>
      </c>
      <c r="S191" s="22" t="e">
        <f t="shared" si="93"/>
        <v>#REF!</v>
      </c>
      <c r="U191" s="11" t="e">
        <f>#REF!</f>
        <v>#REF!</v>
      </c>
      <c r="W191" s="11" t="e">
        <f t="shared" si="41"/>
        <v>#REF!</v>
      </c>
      <c r="X191" s="11" t="e">
        <f t="shared" si="42"/>
        <v>#REF!</v>
      </c>
      <c r="Y191" s="11" t="e">
        <f t="shared" si="43"/>
        <v>#REF!</v>
      </c>
      <c r="Z191" s="11" t="e">
        <f t="shared" si="44"/>
        <v>#REF!</v>
      </c>
      <c r="AA191" s="11" t="e">
        <f t="shared" si="45"/>
        <v>#REF!</v>
      </c>
    </row>
    <row r="192" spans="2:27" x14ac:dyDescent="0.2">
      <c r="B192" s="9">
        <v>8</v>
      </c>
      <c r="C192" s="9" t="s">
        <v>36</v>
      </c>
      <c r="D192" s="10" t="s">
        <v>21</v>
      </c>
      <c r="E192" s="20" t="s">
        <v>18</v>
      </c>
      <c r="F192" s="10" t="str">
        <f t="shared" si="71"/>
        <v>8ELPECONOMY</v>
      </c>
      <c r="G192" s="11">
        <v>66.061250000000001</v>
      </c>
      <c r="H192" s="11">
        <v>65.46674999999999</v>
      </c>
      <c r="I192" s="11">
        <v>64.872249999999994</v>
      </c>
      <c r="J192" s="11">
        <v>64.872249999999994</v>
      </c>
      <c r="K192" s="11">
        <v>64.872249999999994</v>
      </c>
      <c r="M192" s="11">
        <f t="shared" si="40"/>
        <v>11.61</v>
      </c>
      <c r="O192" s="11" t="e">
        <f>#REF!</f>
        <v>#REF!</v>
      </c>
      <c r="P192" s="11" t="e">
        <f>#REF!</f>
        <v>#REF!</v>
      </c>
      <c r="Q192" s="11" t="e">
        <f>#REF!</f>
        <v>#REF!</v>
      </c>
      <c r="R192" s="22" t="e">
        <f t="shared" ref="R192:S192" si="94">Q192</f>
        <v>#REF!</v>
      </c>
      <c r="S192" s="22" t="e">
        <f t="shared" si="94"/>
        <v>#REF!</v>
      </c>
      <c r="U192" s="11" t="e">
        <f>#REF!</f>
        <v>#REF!</v>
      </c>
      <c r="W192" s="11" t="e">
        <f t="shared" si="41"/>
        <v>#REF!</v>
      </c>
      <c r="X192" s="11" t="e">
        <f t="shared" si="42"/>
        <v>#REF!</v>
      </c>
      <c r="Y192" s="11" t="e">
        <f t="shared" si="43"/>
        <v>#REF!</v>
      </c>
      <c r="Z192" s="11" t="e">
        <f t="shared" si="44"/>
        <v>#REF!</v>
      </c>
      <c r="AA192" s="11" t="e">
        <f t="shared" si="45"/>
        <v>#REF!</v>
      </c>
    </row>
    <row r="193" spans="2:27" x14ac:dyDescent="0.2">
      <c r="B193" s="9">
        <v>9</v>
      </c>
      <c r="C193" s="9" t="s">
        <v>36</v>
      </c>
      <c r="D193" s="10" t="s">
        <v>21</v>
      </c>
      <c r="E193" s="20" t="s">
        <v>18</v>
      </c>
      <c r="F193" s="10" t="str">
        <f t="shared" si="71"/>
        <v>9ELPECONOMY</v>
      </c>
      <c r="G193" s="11">
        <v>102.95099999999999</v>
      </c>
      <c r="H193" s="11">
        <v>102.40774999999999</v>
      </c>
      <c r="I193" s="11">
        <v>101.86449999999999</v>
      </c>
      <c r="J193" s="11">
        <v>101.86449999999999</v>
      </c>
      <c r="K193" s="11">
        <v>101.86449999999999</v>
      </c>
      <c r="M193" s="11">
        <f t="shared" si="40"/>
        <v>11.61</v>
      </c>
      <c r="O193" s="11" t="e">
        <f>#REF!</f>
        <v>#REF!</v>
      </c>
      <c r="P193" s="11" t="e">
        <f>#REF!</f>
        <v>#REF!</v>
      </c>
      <c r="Q193" s="11" t="e">
        <f>#REF!</f>
        <v>#REF!</v>
      </c>
      <c r="R193" s="22" t="e">
        <f t="shared" ref="R193:S193" si="95">Q193</f>
        <v>#REF!</v>
      </c>
      <c r="S193" s="22" t="e">
        <f t="shared" si="95"/>
        <v>#REF!</v>
      </c>
      <c r="U193" s="11" t="e">
        <f>#REF!</f>
        <v>#REF!</v>
      </c>
      <c r="W193" s="11" t="e">
        <f t="shared" si="41"/>
        <v>#REF!</v>
      </c>
      <c r="X193" s="11" t="e">
        <f t="shared" si="42"/>
        <v>#REF!</v>
      </c>
      <c r="Y193" s="11" t="e">
        <f t="shared" si="43"/>
        <v>#REF!</v>
      </c>
      <c r="Z193" s="11" t="e">
        <f t="shared" si="44"/>
        <v>#REF!</v>
      </c>
      <c r="AA193" s="11" t="e">
        <f t="shared" si="45"/>
        <v>#REF!</v>
      </c>
    </row>
    <row r="194" spans="2:27" x14ac:dyDescent="0.2">
      <c r="B194" s="9">
        <v>10</v>
      </c>
      <c r="C194" s="9" t="s">
        <v>36</v>
      </c>
      <c r="D194" s="10" t="s">
        <v>21</v>
      </c>
      <c r="E194" s="20" t="s">
        <v>18</v>
      </c>
      <c r="F194" s="10" t="str">
        <f t="shared" si="71"/>
        <v>10ELPECONOMY</v>
      </c>
      <c r="G194" s="11">
        <v>108.38349999999998</v>
      </c>
      <c r="H194" s="11">
        <v>107.84024999999998</v>
      </c>
      <c r="I194" s="11">
        <v>107.297</v>
      </c>
      <c r="J194" s="11">
        <v>107.297</v>
      </c>
      <c r="K194" s="11">
        <v>107.297</v>
      </c>
      <c r="M194" s="11">
        <f t="shared" si="40"/>
        <v>11.61</v>
      </c>
      <c r="O194" s="11" t="e">
        <f>#REF!</f>
        <v>#REF!</v>
      </c>
      <c r="P194" s="11" t="e">
        <f>#REF!</f>
        <v>#REF!</v>
      </c>
      <c r="Q194" s="11" t="e">
        <f>#REF!</f>
        <v>#REF!</v>
      </c>
      <c r="R194" s="22" t="e">
        <f t="shared" ref="R194:S194" si="96">Q194</f>
        <v>#REF!</v>
      </c>
      <c r="S194" s="22" t="e">
        <f t="shared" si="96"/>
        <v>#REF!</v>
      </c>
      <c r="U194" s="11" t="e">
        <f>#REF!</f>
        <v>#REF!</v>
      </c>
      <c r="W194" s="11" t="e">
        <f t="shared" si="41"/>
        <v>#REF!</v>
      </c>
      <c r="X194" s="11" t="e">
        <f t="shared" si="42"/>
        <v>#REF!</v>
      </c>
      <c r="Y194" s="11" t="e">
        <f t="shared" si="43"/>
        <v>#REF!</v>
      </c>
      <c r="Z194" s="11" t="e">
        <f t="shared" si="44"/>
        <v>#REF!</v>
      </c>
      <c r="AA194" s="11" t="e">
        <f t="shared" si="45"/>
        <v>#REF!</v>
      </c>
    </row>
    <row r="195" spans="2:27" x14ac:dyDescent="0.2">
      <c r="B195" s="9">
        <v>11</v>
      </c>
      <c r="C195" s="9" t="s">
        <v>36</v>
      </c>
      <c r="D195" s="10" t="s">
        <v>21</v>
      </c>
      <c r="E195" s="20" t="s">
        <v>18</v>
      </c>
      <c r="F195" s="10" t="str">
        <f t="shared" si="71"/>
        <v>11ELPECONOMY</v>
      </c>
      <c r="G195" s="11">
        <v>121.98524999999999</v>
      </c>
      <c r="H195" s="11">
        <v>119.81224999999999</v>
      </c>
      <c r="I195" s="11">
        <v>119.26899999999999</v>
      </c>
      <c r="J195" s="11">
        <v>119.26899999999999</v>
      </c>
      <c r="K195" s="11">
        <v>119.26899999999999</v>
      </c>
      <c r="M195" s="11">
        <f t="shared" si="40"/>
        <v>11.61</v>
      </c>
      <c r="O195" s="11" t="e">
        <f>#REF!</f>
        <v>#REF!</v>
      </c>
      <c r="P195" s="11" t="e">
        <f>#REF!</f>
        <v>#REF!</v>
      </c>
      <c r="Q195" s="11" t="e">
        <f>#REF!</f>
        <v>#REF!</v>
      </c>
      <c r="R195" s="22" t="e">
        <f t="shared" ref="R195:S195" si="97">Q195</f>
        <v>#REF!</v>
      </c>
      <c r="S195" s="22" t="e">
        <f t="shared" si="97"/>
        <v>#REF!</v>
      </c>
      <c r="U195" s="11" t="e">
        <f>#REF!</f>
        <v>#REF!</v>
      </c>
      <c r="W195" s="11" t="e">
        <f t="shared" si="41"/>
        <v>#REF!</v>
      </c>
      <c r="X195" s="11" t="e">
        <f t="shared" si="42"/>
        <v>#REF!</v>
      </c>
      <c r="Y195" s="11" t="e">
        <f t="shared" si="43"/>
        <v>#REF!</v>
      </c>
      <c r="Z195" s="11" t="e">
        <f t="shared" si="44"/>
        <v>#REF!</v>
      </c>
      <c r="AA195" s="11" t="e">
        <f t="shared" si="45"/>
        <v>#REF!</v>
      </c>
    </row>
    <row r="196" spans="2:27" x14ac:dyDescent="0.2">
      <c r="B196" s="9">
        <v>12</v>
      </c>
      <c r="C196" s="9" t="s">
        <v>36</v>
      </c>
      <c r="D196" s="10" t="s">
        <v>21</v>
      </c>
      <c r="E196" s="20" t="s">
        <v>18</v>
      </c>
      <c r="F196" s="10" t="str">
        <f>B196&amp;D196&amp;E196</f>
        <v>12ELPECONOMY</v>
      </c>
      <c r="G196" s="11">
        <v>167.6695</v>
      </c>
      <c r="H196" s="11">
        <v>166.03975</v>
      </c>
      <c r="I196" s="11">
        <v>164.95325</v>
      </c>
      <c r="J196" s="11">
        <v>164.95325</v>
      </c>
      <c r="K196" s="11">
        <v>164.95325</v>
      </c>
      <c r="M196" s="11">
        <f t="shared" si="40"/>
        <v>11.61</v>
      </c>
      <c r="O196" s="11" t="e">
        <f>#REF!</f>
        <v>#REF!</v>
      </c>
      <c r="P196" s="11" t="e">
        <f>#REF!</f>
        <v>#REF!</v>
      </c>
      <c r="Q196" s="11" t="e">
        <f>#REF!</f>
        <v>#REF!</v>
      </c>
      <c r="R196" s="22" t="e">
        <f t="shared" ref="R196:S196" si="98">Q196</f>
        <v>#REF!</v>
      </c>
      <c r="S196" s="22" t="e">
        <f t="shared" si="98"/>
        <v>#REF!</v>
      </c>
      <c r="U196" s="11" t="e">
        <f>#REF!</f>
        <v>#REF!</v>
      </c>
      <c r="W196" s="11" t="e">
        <f t="shared" si="41"/>
        <v>#REF!</v>
      </c>
      <c r="X196" s="11" t="e">
        <f t="shared" si="42"/>
        <v>#REF!</v>
      </c>
      <c r="Y196" s="11" t="e">
        <f t="shared" si="43"/>
        <v>#REF!</v>
      </c>
      <c r="Z196" s="11" t="e">
        <f t="shared" si="44"/>
        <v>#REF!</v>
      </c>
      <c r="AA196" s="11" t="e">
        <f t="shared" si="45"/>
        <v>#REF!</v>
      </c>
    </row>
    <row r="197" spans="2:27" x14ac:dyDescent="0.2">
      <c r="B197" s="9">
        <v>13</v>
      </c>
      <c r="C197" s="9" t="s">
        <v>36</v>
      </c>
      <c r="D197" s="10" t="s">
        <v>21</v>
      </c>
      <c r="E197" s="20" t="s">
        <v>18</v>
      </c>
      <c r="F197" s="10" t="str">
        <f t="shared" ref="F197:F198" si="99">B197&amp;D197&amp;E197</f>
        <v>13ELPECONOMY</v>
      </c>
      <c r="G197" s="11">
        <v>287</v>
      </c>
      <c r="H197" s="11">
        <v>287</v>
      </c>
      <c r="I197" s="11">
        <v>287</v>
      </c>
      <c r="J197" s="11">
        <v>287</v>
      </c>
      <c r="K197" s="11">
        <v>287</v>
      </c>
      <c r="M197" s="11">
        <f t="shared" si="40"/>
        <v>11.61</v>
      </c>
      <c r="O197" s="11" t="e">
        <f>#REF!</f>
        <v>#REF!</v>
      </c>
      <c r="P197" s="11" t="e">
        <f>#REF!</f>
        <v>#REF!</v>
      </c>
      <c r="Q197" s="11" t="e">
        <f>#REF!</f>
        <v>#REF!</v>
      </c>
      <c r="R197" s="22" t="e">
        <f t="shared" ref="R197:R198" si="100">Q197</f>
        <v>#REF!</v>
      </c>
      <c r="S197" s="22" t="e">
        <f t="shared" ref="S197:S198" si="101">R197</f>
        <v>#REF!</v>
      </c>
      <c r="U197" s="11" t="e">
        <f>#REF!</f>
        <v>#REF!</v>
      </c>
      <c r="W197" s="11" t="e">
        <f t="shared" ref="W197:W198" si="102">G197+$M197+O197+$U197</f>
        <v>#REF!</v>
      </c>
      <c r="X197" s="11" t="e">
        <f t="shared" ref="X197:X198" si="103">H197+$M197+P197+$U197</f>
        <v>#REF!</v>
      </c>
      <c r="Y197" s="11" t="e">
        <f t="shared" ref="Y197:Y198" si="104">I197+$M197+Q197+$U197</f>
        <v>#REF!</v>
      </c>
      <c r="Z197" s="11" t="e">
        <f t="shared" ref="Z197:Z198" si="105">J197+$M197+R197+$U197</f>
        <v>#REF!</v>
      </c>
      <c r="AA197" s="11" t="e">
        <f t="shared" ref="AA197:AA198" si="106">K197+$M197+S197+$U197</f>
        <v>#REF!</v>
      </c>
    </row>
    <row r="198" spans="2:27" x14ac:dyDescent="0.2">
      <c r="B198" s="9">
        <v>14</v>
      </c>
      <c r="C198" s="9" t="s">
        <v>36</v>
      </c>
      <c r="D198" s="10" t="s">
        <v>21</v>
      </c>
      <c r="E198" s="20" t="s">
        <v>18</v>
      </c>
      <c r="F198" s="10" t="str">
        <f t="shared" si="99"/>
        <v>14ELPECONOMY</v>
      </c>
      <c r="G198" s="11">
        <v>317.75</v>
      </c>
      <c r="H198" s="11">
        <v>317.75</v>
      </c>
      <c r="I198" s="11">
        <v>317.75</v>
      </c>
      <c r="J198" s="11">
        <v>317.75</v>
      </c>
      <c r="K198" s="11">
        <v>317.75</v>
      </c>
      <c r="M198" s="11">
        <f t="shared" ref="M198:M261" si="107">VLOOKUP(C198,$AG$5:$AL$9,6,FALSE)</f>
        <v>11.61</v>
      </c>
      <c r="O198" s="11" t="e">
        <f>#REF!</f>
        <v>#REF!</v>
      </c>
      <c r="P198" s="11" t="e">
        <f>#REF!</f>
        <v>#REF!</v>
      </c>
      <c r="Q198" s="11" t="e">
        <f>#REF!</f>
        <v>#REF!</v>
      </c>
      <c r="R198" s="22" t="e">
        <f t="shared" si="100"/>
        <v>#REF!</v>
      </c>
      <c r="S198" s="22" t="e">
        <f t="shared" si="101"/>
        <v>#REF!</v>
      </c>
      <c r="U198" s="11" t="e">
        <f>#REF!</f>
        <v>#REF!</v>
      </c>
      <c r="W198" s="11" t="e">
        <f t="shared" si="102"/>
        <v>#REF!</v>
      </c>
      <c r="X198" s="11" t="e">
        <f t="shared" si="103"/>
        <v>#REF!</v>
      </c>
      <c r="Y198" s="11" t="e">
        <f t="shared" si="104"/>
        <v>#REF!</v>
      </c>
      <c r="Z198" s="11" t="e">
        <f t="shared" si="105"/>
        <v>#REF!</v>
      </c>
      <c r="AA198" s="11" t="e">
        <f t="shared" si="106"/>
        <v>#REF!</v>
      </c>
    </row>
    <row r="199" spans="2:27" x14ac:dyDescent="0.2">
      <c r="B199" s="9">
        <v>21</v>
      </c>
      <c r="C199" s="9" t="s">
        <v>37</v>
      </c>
      <c r="D199" s="10" t="s">
        <v>21</v>
      </c>
      <c r="E199" s="20" t="s">
        <v>18</v>
      </c>
      <c r="F199" s="10" t="str">
        <f t="shared" si="71"/>
        <v>21ELPECONOMY</v>
      </c>
      <c r="G199" s="12">
        <v>13.376249999999999</v>
      </c>
      <c r="H199" s="12">
        <v>11.654249999999998</v>
      </c>
      <c r="I199" s="12">
        <v>10.516499999999999</v>
      </c>
      <c r="J199" s="12">
        <v>10.516499999999999</v>
      </c>
      <c r="K199" s="12">
        <v>10.516499999999999</v>
      </c>
      <c r="M199" s="12">
        <f t="shared" si="107"/>
        <v>11.51</v>
      </c>
      <c r="O199" s="12" t="e">
        <f>#REF!</f>
        <v>#REF!</v>
      </c>
      <c r="P199" s="12" t="e">
        <f>#REF!</f>
        <v>#REF!</v>
      </c>
      <c r="Q199" s="12" t="e">
        <f>#REF!</f>
        <v>#REF!</v>
      </c>
      <c r="R199" s="22" t="e">
        <f t="shared" ref="R199:S199" si="108">Q199</f>
        <v>#REF!</v>
      </c>
      <c r="S199" s="22" t="e">
        <f t="shared" si="108"/>
        <v>#REF!</v>
      </c>
      <c r="U199" s="12" t="e">
        <f>#REF!</f>
        <v>#REF!</v>
      </c>
      <c r="W199" s="12" t="e">
        <f t="shared" si="41"/>
        <v>#REF!</v>
      </c>
      <c r="X199" s="12" t="e">
        <f t="shared" si="42"/>
        <v>#REF!</v>
      </c>
      <c r="Y199" s="12" t="e">
        <f t="shared" si="43"/>
        <v>#REF!</v>
      </c>
      <c r="Z199" s="12" t="e">
        <f t="shared" si="44"/>
        <v>#REF!</v>
      </c>
      <c r="AA199" s="12" t="e">
        <f t="shared" si="45"/>
        <v>#REF!</v>
      </c>
    </row>
    <row r="200" spans="2:27" x14ac:dyDescent="0.2">
      <c r="B200" s="9">
        <v>22</v>
      </c>
      <c r="C200" s="9" t="s">
        <v>37</v>
      </c>
      <c r="D200" s="10" t="s">
        <v>21</v>
      </c>
      <c r="E200" s="20" t="s">
        <v>18</v>
      </c>
      <c r="F200" s="10" t="str">
        <f t="shared" si="71"/>
        <v>22ELPECONOMY</v>
      </c>
      <c r="G200" s="12">
        <v>18.265499999999999</v>
      </c>
      <c r="H200" s="12">
        <v>16.512749999999997</v>
      </c>
      <c r="I200" s="12">
        <v>15.344249999999999</v>
      </c>
      <c r="J200" s="12">
        <v>15.344249999999999</v>
      </c>
      <c r="K200" s="12">
        <v>15.344249999999999</v>
      </c>
      <c r="M200" s="12">
        <f t="shared" si="107"/>
        <v>11.51</v>
      </c>
      <c r="O200" s="12" t="e">
        <f>#REF!</f>
        <v>#REF!</v>
      </c>
      <c r="P200" s="12" t="e">
        <f>#REF!</f>
        <v>#REF!</v>
      </c>
      <c r="Q200" s="12" t="e">
        <f>#REF!</f>
        <v>#REF!</v>
      </c>
      <c r="R200" s="22" t="e">
        <f t="shared" ref="R200:S200" si="109">Q200</f>
        <v>#REF!</v>
      </c>
      <c r="S200" s="22" t="e">
        <f t="shared" si="109"/>
        <v>#REF!</v>
      </c>
      <c r="U200" s="12" t="e">
        <f>#REF!</f>
        <v>#REF!</v>
      </c>
      <c r="W200" s="12" t="e">
        <f t="shared" si="41"/>
        <v>#REF!</v>
      </c>
      <c r="X200" s="12" t="e">
        <f t="shared" si="42"/>
        <v>#REF!</v>
      </c>
      <c r="Y200" s="12" t="e">
        <f t="shared" si="43"/>
        <v>#REF!</v>
      </c>
      <c r="Z200" s="12" t="e">
        <f t="shared" si="44"/>
        <v>#REF!</v>
      </c>
      <c r="AA200" s="12" t="e">
        <f t="shared" si="45"/>
        <v>#REF!</v>
      </c>
    </row>
    <row r="201" spans="2:27" x14ac:dyDescent="0.2">
      <c r="B201" s="9">
        <v>23</v>
      </c>
      <c r="C201" s="9" t="s">
        <v>37</v>
      </c>
      <c r="D201" s="10" t="s">
        <v>21</v>
      </c>
      <c r="E201" s="20" t="s">
        <v>18</v>
      </c>
      <c r="F201" s="10" t="str">
        <f t="shared" si="71"/>
        <v>23ELPECONOMY</v>
      </c>
      <c r="G201" s="12">
        <v>19.823499999999999</v>
      </c>
      <c r="H201" s="12">
        <v>18.66525</v>
      </c>
      <c r="I201" s="12">
        <v>18.091249999999999</v>
      </c>
      <c r="J201" s="12">
        <v>18.091249999999999</v>
      </c>
      <c r="K201" s="12">
        <v>18.091249999999999</v>
      </c>
      <c r="M201" s="12">
        <f t="shared" si="107"/>
        <v>11.51</v>
      </c>
      <c r="O201" s="12" t="e">
        <f>#REF!</f>
        <v>#REF!</v>
      </c>
      <c r="P201" s="12" t="e">
        <f>#REF!</f>
        <v>#REF!</v>
      </c>
      <c r="Q201" s="12" t="e">
        <f>#REF!</f>
        <v>#REF!</v>
      </c>
      <c r="R201" s="22" t="e">
        <f t="shared" ref="R201:S201" si="110">Q201</f>
        <v>#REF!</v>
      </c>
      <c r="S201" s="22" t="e">
        <f t="shared" si="110"/>
        <v>#REF!</v>
      </c>
      <c r="U201" s="12" t="e">
        <f>#REF!</f>
        <v>#REF!</v>
      </c>
      <c r="W201" s="12" t="e">
        <f t="shared" si="41"/>
        <v>#REF!</v>
      </c>
      <c r="X201" s="12" t="e">
        <f t="shared" si="42"/>
        <v>#REF!</v>
      </c>
      <c r="Y201" s="12" t="e">
        <f t="shared" si="43"/>
        <v>#REF!</v>
      </c>
      <c r="Z201" s="12" t="e">
        <f t="shared" si="44"/>
        <v>#REF!</v>
      </c>
      <c r="AA201" s="12" t="e">
        <f t="shared" si="45"/>
        <v>#REF!</v>
      </c>
    </row>
    <row r="202" spans="2:27" x14ac:dyDescent="0.2">
      <c r="B202" s="9">
        <v>24</v>
      </c>
      <c r="C202" s="9" t="s">
        <v>37</v>
      </c>
      <c r="D202" s="10" t="s">
        <v>21</v>
      </c>
      <c r="E202" s="20" t="s">
        <v>18</v>
      </c>
      <c r="F202" s="10" t="str">
        <f t="shared" si="71"/>
        <v>24ELPECONOMY</v>
      </c>
      <c r="G202" s="12">
        <v>21.381499999999999</v>
      </c>
      <c r="H202" s="12">
        <v>20.171999999999997</v>
      </c>
      <c r="I202" s="12">
        <v>19.567249999999998</v>
      </c>
      <c r="J202" s="12">
        <v>19.567249999999998</v>
      </c>
      <c r="K202" s="12">
        <v>19.567249999999998</v>
      </c>
      <c r="M202" s="12">
        <f t="shared" si="107"/>
        <v>11.51</v>
      </c>
      <c r="O202" s="12" t="e">
        <f>#REF!</f>
        <v>#REF!</v>
      </c>
      <c r="P202" s="12" t="e">
        <f>#REF!</f>
        <v>#REF!</v>
      </c>
      <c r="Q202" s="12" t="e">
        <f>#REF!</f>
        <v>#REF!</v>
      </c>
      <c r="R202" s="22" t="e">
        <f t="shared" ref="R202:S202" si="111">Q202</f>
        <v>#REF!</v>
      </c>
      <c r="S202" s="22" t="e">
        <f t="shared" si="111"/>
        <v>#REF!</v>
      </c>
      <c r="U202" s="12" t="e">
        <f>#REF!</f>
        <v>#REF!</v>
      </c>
      <c r="W202" s="12" t="e">
        <f t="shared" si="41"/>
        <v>#REF!</v>
      </c>
      <c r="X202" s="12" t="e">
        <f t="shared" si="42"/>
        <v>#REF!</v>
      </c>
      <c r="Y202" s="12" t="e">
        <f t="shared" si="43"/>
        <v>#REF!</v>
      </c>
      <c r="Z202" s="12" t="e">
        <f t="shared" si="44"/>
        <v>#REF!</v>
      </c>
      <c r="AA202" s="12" t="e">
        <f t="shared" si="45"/>
        <v>#REF!</v>
      </c>
    </row>
    <row r="203" spans="2:27" x14ac:dyDescent="0.2">
      <c r="B203" s="9">
        <v>25</v>
      </c>
      <c r="C203" s="9" t="s">
        <v>37</v>
      </c>
      <c r="D203" s="10" t="s">
        <v>21</v>
      </c>
      <c r="E203" s="20" t="s">
        <v>18</v>
      </c>
      <c r="F203" s="10" t="str">
        <f t="shared" si="71"/>
        <v>25ELPECONOMY</v>
      </c>
      <c r="G203" s="12">
        <v>22.509</v>
      </c>
      <c r="H203" s="12">
        <v>21.934999999999995</v>
      </c>
      <c r="I203" s="12">
        <v>21.360999999999997</v>
      </c>
      <c r="J203" s="12">
        <v>21.360999999999997</v>
      </c>
      <c r="K203" s="12">
        <v>21.360999999999997</v>
      </c>
      <c r="M203" s="12">
        <f t="shared" si="107"/>
        <v>11.51</v>
      </c>
      <c r="O203" s="12" t="e">
        <f>#REF!</f>
        <v>#REF!</v>
      </c>
      <c r="P203" s="12" t="e">
        <f>#REF!</f>
        <v>#REF!</v>
      </c>
      <c r="Q203" s="12" t="e">
        <f>#REF!</f>
        <v>#REF!</v>
      </c>
      <c r="R203" s="22" t="e">
        <f t="shared" ref="R203:S203" si="112">Q203</f>
        <v>#REF!</v>
      </c>
      <c r="S203" s="22" t="e">
        <f t="shared" si="112"/>
        <v>#REF!</v>
      </c>
      <c r="U203" s="12" t="e">
        <f>#REF!</f>
        <v>#REF!</v>
      </c>
      <c r="W203" s="12" t="e">
        <f t="shared" si="41"/>
        <v>#REF!</v>
      </c>
      <c r="X203" s="12" t="e">
        <f t="shared" si="42"/>
        <v>#REF!</v>
      </c>
      <c r="Y203" s="12" t="e">
        <f t="shared" si="43"/>
        <v>#REF!</v>
      </c>
      <c r="Z203" s="12" t="e">
        <f t="shared" si="44"/>
        <v>#REF!</v>
      </c>
      <c r="AA203" s="12" t="e">
        <f t="shared" si="45"/>
        <v>#REF!</v>
      </c>
    </row>
    <row r="204" spans="2:27" x14ac:dyDescent="0.2">
      <c r="B204" s="9">
        <v>26</v>
      </c>
      <c r="C204" s="9" t="s">
        <v>37</v>
      </c>
      <c r="D204" s="10" t="s">
        <v>21</v>
      </c>
      <c r="E204" s="20" t="s">
        <v>18</v>
      </c>
      <c r="F204" s="10" t="str">
        <f t="shared" si="71"/>
        <v>26ELPECONOMY</v>
      </c>
      <c r="G204" s="12">
        <v>24.579499999999999</v>
      </c>
      <c r="H204" s="12">
        <v>24.005500000000001</v>
      </c>
      <c r="I204" s="12">
        <v>23.431499999999996</v>
      </c>
      <c r="J204" s="12">
        <v>23.431499999999996</v>
      </c>
      <c r="K204" s="12">
        <v>23.431499999999996</v>
      </c>
      <c r="M204" s="12">
        <f t="shared" si="107"/>
        <v>11.51</v>
      </c>
      <c r="O204" s="12" t="e">
        <f>#REF!</f>
        <v>#REF!</v>
      </c>
      <c r="P204" s="12" t="e">
        <f>#REF!</f>
        <v>#REF!</v>
      </c>
      <c r="Q204" s="12" t="e">
        <f>#REF!</f>
        <v>#REF!</v>
      </c>
      <c r="R204" s="22" t="e">
        <f t="shared" ref="R204:S204" si="113">Q204</f>
        <v>#REF!</v>
      </c>
      <c r="S204" s="22" t="e">
        <f t="shared" si="113"/>
        <v>#REF!</v>
      </c>
      <c r="U204" s="12" t="e">
        <f>#REF!</f>
        <v>#REF!</v>
      </c>
      <c r="W204" s="12" t="e">
        <f t="shared" si="41"/>
        <v>#REF!</v>
      </c>
      <c r="X204" s="12" t="e">
        <f t="shared" si="42"/>
        <v>#REF!</v>
      </c>
      <c r="Y204" s="12" t="e">
        <f t="shared" si="43"/>
        <v>#REF!</v>
      </c>
      <c r="Z204" s="12" t="e">
        <f t="shared" si="44"/>
        <v>#REF!</v>
      </c>
      <c r="AA204" s="12" t="e">
        <f t="shared" si="45"/>
        <v>#REF!</v>
      </c>
    </row>
    <row r="205" spans="2:27" x14ac:dyDescent="0.2">
      <c r="B205" s="9">
        <v>27</v>
      </c>
      <c r="C205" s="9" t="s">
        <v>37</v>
      </c>
      <c r="D205" s="10" t="s">
        <v>21</v>
      </c>
      <c r="E205" s="20" t="s">
        <v>18</v>
      </c>
      <c r="F205" s="10" t="str">
        <f t="shared" si="71"/>
        <v>27ELPECONOMY</v>
      </c>
      <c r="G205" s="12">
        <v>97.846499999999992</v>
      </c>
      <c r="H205" s="12">
        <v>96.749749999999992</v>
      </c>
      <c r="I205" s="12">
        <v>96.206499999999991</v>
      </c>
      <c r="J205" s="12">
        <v>96.206499999999991</v>
      </c>
      <c r="K205" s="12">
        <v>96.206499999999991</v>
      </c>
      <c r="M205" s="12">
        <f t="shared" si="107"/>
        <v>11.51</v>
      </c>
      <c r="O205" s="12" t="e">
        <f>#REF!</f>
        <v>#REF!</v>
      </c>
      <c r="P205" s="12" t="e">
        <f>#REF!</f>
        <v>#REF!</v>
      </c>
      <c r="Q205" s="12" t="e">
        <f>#REF!</f>
        <v>#REF!</v>
      </c>
      <c r="R205" s="22" t="e">
        <f t="shared" ref="R205:S205" si="114">Q205</f>
        <v>#REF!</v>
      </c>
      <c r="S205" s="22" t="e">
        <f t="shared" si="114"/>
        <v>#REF!</v>
      </c>
      <c r="U205" s="12" t="e">
        <f>#REF!</f>
        <v>#REF!</v>
      </c>
      <c r="W205" s="12" t="e">
        <f t="shared" si="41"/>
        <v>#REF!</v>
      </c>
      <c r="X205" s="12" t="e">
        <f t="shared" si="42"/>
        <v>#REF!</v>
      </c>
      <c r="Y205" s="12" t="e">
        <f t="shared" si="43"/>
        <v>#REF!</v>
      </c>
      <c r="Z205" s="12" t="e">
        <f t="shared" si="44"/>
        <v>#REF!</v>
      </c>
      <c r="AA205" s="12" t="e">
        <f t="shared" si="45"/>
        <v>#REF!</v>
      </c>
    </row>
    <row r="206" spans="2:27" x14ac:dyDescent="0.2">
      <c r="B206" s="9">
        <v>28</v>
      </c>
      <c r="C206" s="9" t="s">
        <v>37</v>
      </c>
      <c r="D206" s="10" t="s">
        <v>21</v>
      </c>
      <c r="E206" s="20" t="s">
        <v>18</v>
      </c>
      <c r="F206" s="10" t="str">
        <f t="shared" si="71"/>
        <v>28ELPECONOMY</v>
      </c>
      <c r="G206" s="12">
        <v>101.10599999999999</v>
      </c>
      <c r="H206" s="12">
        <v>100.56274999999999</v>
      </c>
      <c r="I206" s="12">
        <v>100.01949999999999</v>
      </c>
      <c r="J206" s="12">
        <v>100.01949999999999</v>
      </c>
      <c r="K206" s="12">
        <v>100.01949999999999</v>
      </c>
      <c r="M206" s="12">
        <f t="shared" si="107"/>
        <v>11.51</v>
      </c>
      <c r="O206" s="12" t="e">
        <f>#REF!</f>
        <v>#REF!</v>
      </c>
      <c r="P206" s="12" t="e">
        <f>#REF!</f>
        <v>#REF!</v>
      </c>
      <c r="Q206" s="12" t="e">
        <f>#REF!</f>
        <v>#REF!</v>
      </c>
      <c r="R206" s="22" t="e">
        <f t="shared" ref="R206:S206" si="115">Q206</f>
        <v>#REF!</v>
      </c>
      <c r="S206" s="22" t="e">
        <f t="shared" si="115"/>
        <v>#REF!</v>
      </c>
      <c r="U206" s="12" t="e">
        <f>#REF!</f>
        <v>#REF!</v>
      </c>
      <c r="W206" s="12" t="e">
        <f t="shared" si="41"/>
        <v>#REF!</v>
      </c>
      <c r="X206" s="12" t="e">
        <f t="shared" si="42"/>
        <v>#REF!</v>
      </c>
      <c r="Y206" s="12" t="e">
        <f t="shared" si="43"/>
        <v>#REF!</v>
      </c>
      <c r="Z206" s="12" t="e">
        <f t="shared" si="44"/>
        <v>#REF!</v>
      </c>
      <c r="AA206" s="12" t="e">
        <f t="shared" si="45"/>
        <v>#REF!</v>
      </c>
    </row>
    <row r="207" spans="2:27" x14ac:dyDescent="0.2">
      <c r="B207" s="9">
        <v>31</v>
      </c>
      <c r="C207" s="9" t="s">
        <v>46</v>
      </c>
      <c r="D207" s="10" t="s">
        <v>21</v>
      </c>
      <c r="E207" s="20" t="s">
        <v>18</v>
      </c>
      <c r="F207" s="10" t="str">
        <f t="shared" si="71"/>
        <v>31ELPECONOMY</v>
      </c>
      <c r="G207" s="13">
        <v>13.089249999999998</v>
      </c>
      <c r="H207" s="13">
        <v>11.94125</v>
      </c>
      <c r="I207" s="13">
        <v>10.803499999999998</v>
      </c>
      <c r="J207" s="13">
        <v>10.803499999999998</v>
      </c>
      <c r="K207" s="13">
        <v>10.803499999999998</v>
      </c>
      <c r="M207" s="13">
        <f t="shared" si="107"/>
        <v>10.81</v>
      </c>
      <c r="O207" s="13" t="e">
        <f>#REF!</f>
        <v>#REF!</v>
      </c>
      <c r="P207" s="13" t="e">
        <f>#REF!</f>
        <v>#REF!</v>
      </c>
      <c r="Q207" s="13" t="e">
        <f>#REF!</f>
        <v>#REF!</v>
      </c>
      <c r="R207" s="22" t="e">
        <f t="shared" ref="R207:S207" si="116">Q207</f>
        <v>#REF!</v>
      </c>
      <c r="S207" s="22" t="e">
        <f t="shared" si="116"/>
        <v>#REF!</v>
      </c>
      <c r="U207" s="13" t="e">
        <f>#REF!</f>
        <v>#REF!</v>
      </c>
      <c r="W207" s="13" t="e">
        <f t="shared" si="41"/>
        <v>#REF!</v>
      </c>
      <c r="X207" s="13" t="e">
        <f t="shared" si="42"/>
        <v>#REF!</v>
      </c>
      <c r="Y207" s="13" t="e">
        <f t="shared" si="43"/>
        <v>#REF!</v>
      </c>
      <c r="Z207" s="13" t="e">
        <f t="shared" si="44"/>
        <v>#REF!</v>
      </c>
      <c r="AA207" s="13" t="e">
        <f t="shared" si="45"/>
        <v>#REF!</v>
      </c>
    </row>
    <row r="208" spans="2:27" x14ac:dyDescent="0.2">
      <c r="B208" s="9">
        <v>32</v>
      </c>
      <c r="C208" s="9" t="s">
        <v>46</v>
      </c>
      <c r="D208" s="10" t="s">
        <v>21</v>
      </c>
      <c r="E208" s="20" t="s">
        <v>18</v>
      </c>
      <c r="F208" s="10" t="str">
        <f t="shared" si="71"/>
        <v>32ELPECONOMY</v>
      </c>
      <c r="G208" s="13">
        <v>17.43525</v>
      </c>
      <c r="H208" s="13">
        <v>15.620999999999999</v>
      </c>
      <c r="I208" s="13">
        <v>14.431999999999999</v>
      </c>
      <c r="J208" s="13">
        <v>14.431999999999999</v>
      </c>
      <c r="K208" s="13">
        <v>14.431999999999999</v>
      </c>
      <c r="M208" s="13">
        <f t="shared" si="107"/>
        <v>10.81</v>
      </c>
      <c r="O208" s="13" t="e">
        <f>#REF!</f>
        <v>#REF!</v>
      </c>
      <c r="P208" s="13" t="e">
        <f>#REF!</f>
        <v>#REF!</v>
      </c>
      <c r="Q208" s="13" t="e">
        <f>#REF!</f>
        <v>#REF!</v>
      </c>
      <c r="R208" s="22" t="e">
        <f t="shared" ref="R208:S208" si="117">Q208</f>
        <v>#REF!</v>
      </c>
      <c r="S208" s="22" t="e">
        <f t="shared" si="117"/>
        <v>#REF!</v>
      </c>
      <c r="U208" s="13" t="e">
        <f>#REF!</f>
        <v>#REF!</v>
      </c>
      <c r="W208" s="13" t="e">
        <f t="shared" si="41"/>
        <v>#REF!</v>
      </c>
      <c r="X208" s="13" t="e">
        <f t="shared" si="42"/>
        <v>#REF!</v>
      </c>
      <c r="Y208" s="13" t="e">
        <f t="shared" si="43"/>
        <v>#REF!</v>
      </c>
      <c r="Z208" s="13" t="e">
        <f t="shared" si="44"/>
        <v>#REF!</v>
      </c>
      <c r="AA208" s="13" t="e">
        <f t="shared" si="45"/>
        <v>#REF!</v>
      </c>
    </row>
    <row r="209" spans="1:27" x14ac:dyDescent="0.2">
      <c r="B209" s="9">
        <v>33</v>
      </c>
      <c r="C209" s="9" t="s">
        <v>46</v>
      </c>
      <c r="D209" s="10" t="s">
        <v>21</v>
      </c>
      <c r="E209" s="20" t="s">
        <v>18</v>
      </c>
      <c r="F209" s="10" t="str">
        <f t="shared" si="71"/>
        <v>33ELPECONOMY</v>
      </c>
      <c r="G209" s="13">
        <v>20.048999999999996</v>
      </c>
      <c r="H209" s="13">
        <v>18.296250000000001</v>
      </c>
      <c r="I209" s="13">
        <v>17.117499999999996</v>
      </c>
      <c r="J209" s="13">
        <v>17.117499999999996</v>
      </c>
      <c r="K209" s="13">
        <v>17.117499999999996</v>
      </c>
      <c r="M209" s="13">
        <f t="shared" si="107"/>
        <v>10.81</v>
      </c>
      <c r="O209" s="13" t="e">
        <f>#REF!</f>
        <v>#REF!</v>
      </c>
      <c r="P209" s="13" t="e">
        <f>#REF!</f>
        <v>#REF!</v>
      </c>
      <c r="Q209" s="13" t="e">
        <f>#REF!</f>
        <v>#REF!</v>
      </c>
      <c r="R209" s="22" t="e">
        <f t="shared" ref="R209:S209" si="118">Q209</f>
        <v>#REF!</v>
      </c>
      <c r="S209" s="22" t="e">
        <f t="shared" si="118"/>
        <v>#REF!</v>
      </c>
      <c r="U209" s="13" t="e">
        <f>#REF!</f>
        <v>#REF!</v>
      </c>
      <c r="W209" s="13" t="e">
        <f t="shared" si="41"/>
        <v>#REF!</v>
      </c>
      <c r="X209" s="13" t="e">
        <f t="shared" si="42"/>
        <v>#REF!</v>
      </c>
      <c r="Y209" s="13" t="e">
        <f t="shared" si="43"/>
        <v>#REF!</v>
      </c>
      <c r="Z209" s="13" t="e">
        <f t="shared" si="44"/>
        <v>#REF!</v>
      </c>
      <c r="AA209" s="13" t="e">
        <f t="shared" si="45"/>
        <v>#REF!</v>
      </c>
    </row>
    <row r="210" spans="1:27" x14ac:dyDescent="0.2">
      <c r="B210" s="9">
        <v>34</v>
      </c>
      <c r="C210" s="9" t="s">
        <v>46</v>
      </c>
      <c r="D210" s="10" t="s">
        <v>21</v>
      </c>
      <c r="E210" s="20" t="s">
        <v>18</v>
      </c>
      <c r="F210" s="10" t="str">
        <f t="shared" si="71"/>
        <v>34ELPECONOMY</v>
      </c>
      <c r="G210" s="13">
        <v>23.257249999999999</v>
      </c>
      <c r="H210" s="13">
        <v>21.432749999999999</v>
      </c>
      <c r="I210" s="13">
        <v>20.212999999999997</v>
      </c>
      <c r="J210" s="13">
        <v>20.212999999999997</v>
      </c>
      <c r="K210" s="13">
        <v>20.212999999999997</v>
      </c>
      <c r="M210" s="13">
        <f t="shared" si="107"/>
        <v>10.81</v>
      </c>
      <c r="O210" s="13" t="e">
        <f>#REF!</f>
        <v>#REF!</v>
      </c>
      <c r="P210" s="13" t="e">
        <f>#REF!</f>
        <v>#REF!</v>
      </c>
      <c r="Q210" s="13" t="e">
        <f>#REF!</f>
        <v>#REF!</v>
      </c>
      <c r="R210" s="22" t="e">
        <f t="shared" ref="R210:S210" si="119">Q210</f>
        <v>#REF!</v>
      </c>
      <c r="S210" s="22" t="e">
        <f t="shared" si="119"/>
        <v>#REF!</v>
      </c>
      <c r="U210" s="13" t="e">
        <f>#REF!</f>
        <v>#REF!</v>
      </c>
      <c r="W210" s="13" t="e">
        <f t="shared" ref="W210:W277" si="120">G210+$M210+O210+$U210</f>
        <v>#REF!</v>
      </c>
      <c r="X210" s="13" t="e">
        <f t="shared" ref="X210:X277" si="121">H210+$M210+P210+$U210</f>
        <v>#REF!</v>
      </c>
      <c r="Y210" s="13" t="e">
        <f t="shared" ref="Y210:Y277" si="122">I210+$M210+Q210+$U210</f>
        <v>#REF!</v>
      </c>
      <c r="Z210" s="13" t="e">
        <f t="shared" ref="Z210:Z277" si="123">J210+$M210+R210+$U210</f>
        <v>#REF!</v>
      </c>
      <c r="AA210" s="13" t="e">
        <f t="shared" ref="AA210:AA277" si="124">K210+$M210+S210+$U210</f>
        <v>#REF!</v>
      </c>
    </row>
    <row r="211" spans="1:27" x14ac:dyDescent="0.2">
      <c r="B211" s="9">
        <v>35</v>
      </c>
      <c r="C211" s="9" t="s">
        <v>46</v>
      </c>
      <c r="D211" s="10" t="s">
        <v>21</v>
      </c>
      <c r="E211" s="20" t="s">
        <v>18</v>
      </c>
      <c r="F211" s="10" t="str">
        <f t="shared" si="71"/>
        <v>35ELPECONOMY</v>
      </c>
      <c r="G211" s="13">
        <v>25.584</v>
      </c>
      <c r="H211" s="13">
        <v>23.810749999999999</v>
      </c>
      <c r="I211" s="13">
        <v>22.621749999999999</v>
      </c>
      <c r="J211" s="13">
        <v>22.621749999999999</v>
      </c>
      <c r="K211" s="13">
        <v>22.621749999999999</v>
      </c>
      <c r="M211" s="13">
        <f t="shared" si="107"/>
        <v>10.81</v>
      </c>
      <c r="O211" s="13" t="e">
        <f>#REF!</f>
        <v>#REF!</v>
      </c>
      <c r="P211" s="13" t="e">
        <f>#REF!</f>
        <v>#REF!</v>
      </c>
      <c r="Q211" s="13" t="e">
        <f>#REF!</f>
        <v>#REF!</v>
      </c>
      <c r="R211" s="22" t="e">
        <f t="shared" ref="R211:S211" si="125">Q211</f>
        <v>#REF!</v>
      </c>
      <c r="S211" s="22" t="e">
        <f t="shared" si="125"/>
        <v>#REF!</v>
      </c>
      <c r="U211" s="13" t="e">
        <f>#REF!</f>
        <v>#REF!</v>
      </c>
      <c r="W211" s="13" t="e">
        <f t="shared" si="120"/>
        <v>#REF!</v>
      </c>
      <c r="X211" s="13" t="e">
        <f t="shared" si="121"/>
        <v>#REF!</v>
      </c>
      <c r="Y211" s="13" t="e">
        <f t="shared" si="122"/>
        <v>#REF!</v>
      </c>
      <c r="Z211" s="13" t="e">
        <f t="shared" si="123"/>
        <v>#REF!</v>
      </c>
      <c r="AA211" s="13" t="e">
        <f t="shared" si="124"/>
        <v>#REF!</v>
      </c>
    </row>
    <row r="212" spans="1:27" x14ac:dyDescent="0.2">
      <c r="B212" s="9">
        <v>41</v>
      </c>
      <c r="C212" s="9" t="s">
        <v>38</v>
      </c>
      <c r="D212" s="10" t="s">
        <v>21</v>
      </c>
      <c r="E212" s="20" t="s">
        <v>18</v>
      </c>
      <c r="F212" s="10" t="str">
        <f t="shared" si="71"/>
        <v>41ELPECONOMY</v>
      </c>
      <c r="G212" s="14">
        <v>14.55</v>
      </c>
      <c r="H212" s="14">
        <v>13</v>
      </c>
      <c r="I212" s="14">
        <v>11.9</v>
      </c>
      <c r="J212" s="14">
        <v>11.9</v>
      </c>
      <c r="K212" s="14">
        <v>11.9</v>
      </c>
      <c r="M212" s="14">
        <f t="shared" si="107"/>
        <v>9.76</v>
      </c>
      <c r="O212" s="14" t="e">
        <f>#REF!</f>
        <v>#REF!</v>
      </c>
      <c r="P212" s="14" t="e">
        <f>#REF!</f>
        <v>#REF!</v>
      </c>
      <c r="Q212" s="14" t="e">
        <f>#REF!</f>
        <v>#REF!</v>
      </c>
      <c r="R212" s="22" t="e">
        <f t="shared" ref="R212:S212" si="126">Q212</f>
        <v>#REF!</v>
      </c>
      <c r="S212" s="22" t="e">
        <f t="shared" si="126"/>
        <v>#REF!</v>
      </c>
      <c r="U212" s="14" t="e">
        <f>#REF!</f>
        <v>#REF!</v>
      </c>
      <c r="W212" s="14" t="e">
        <f t="shared" si="120"/>
        <v>#REF!</v>
      </c>
      <c r="X212" s="14" t="e">
        <f t="shared" si="121"/>
        <v>#REF!</v>
      </c>
      <c r="Y212" s="14" t="e">
        <f t="shared" si="122"/>
        <v>#REF!</v>
      </c>
      <c r="Z212" s="14" t="e">
        <f t="shared" si="123"/>
        <v>#REF!</v>
      </c>
      <c r="AA212" s="14" t="e">
        <f t="shared" si="124"/>
        <v>#REF!</v>
      </c>
    </row>
    <row r="213" spans="1:27" x14ac:dyDescent="0.2">
      <c r="B213" s="9">
        <v>42</v>
      </c>
      <c r="C213" s="9" t="s">
        <v>38</v>
      </c>
      <c r="D213" s="10" t="s">
        <v>21</v>
      </c>
      <c r="E213" s="20" t="s">
        <v>18</v>
      </c>
      <c r="F213" s="10" t="str">
        <f t="shared" si="71"/>
        <v>42ELPECONOMY</v>
      </c>
      <c r="G213" s="14">
        <v>16.55</v>
      </c>
      <c r="H213" s="14">
        <v>15.2</v>
      </c>
      <c r="I213" s="14">
        <v>14.1</v>
      </c>
      <c r="J213" s="14">
        <v>14.1</v>
      </c>
      <c r="K213" s="14">
        <v>14.1</v>
      </c>
      <c r="M213" s="14">
        <f t="shared" si="107"/>
        <v>9.76</v>
      </c>
      <c r="O213" s="14" t="e">
        <f>#REF!</f>
        <v>#REF!</v>
      </c>
      <c r="P213" s="14" t="e">
        <f>#REF!</f>
        <v>#REF!</v>
      </c>
      <c r="Q213" s="14" t="e">
        <f>#REF!</f>
        <v>#REF!</v>
      </c>
      <c r="R213" s="22" t="e">
        <f t="shared" ref="R213:S213" si="127">Q213</f>
        <v>#REF!</v>
      </c>
      <c r="S213" s="22" t="e">
        <f t="shared" si="127"/>
        <v>#REF!</v>
      </c>
      <c r="U213" s="14" t="e">
        <f>#REF!</f>
        <v>#REF!</v>
      </c>
      <c r="W213" s="14" t="e">
        <f t="shared" si="120"/>
        <v>#REF!</v>
      </c>
      <c r="X213" s="14" t="e">
        <f t="shared" si="121"/>
        <v>#REF!</v>
      </c>
      <c r="Y213" s="14" t="e">
        <f t="shared" si="122"/>
        <v>#REF!</v>
      </c>
      <c r="Z213" s="14" t="e">
        <f t="shared" si="123"/>
        <v>#REF!</v>
      </c>
      <c r="AA213" s="14" t="e">
        <f t="shared" si="124"/>
        <v>#REF!</v>
      </c>
    </row>
    <row r="214" spans="1:27" x14ac:dyDescent="0.2">
      <c r="B214" s="9">
        <v>43</v>
      </c>
      <c r="C214" s="9" t="s">
        <v>38</v>
      </c>
      <c r="D214" s="10" t="s">
        <v>21</v>
      </c>
      <c r="E214" s="20" t="s">
        <v>18</v>
      </c>
      <c r="F214" s="10" t="str">
        <f t="shared" si="71"/>
        <v>43ELPECONOMY</v>
      </c>
      <c r="G214" s="14">
        <v>19.55</v>
      </c>
      <c r="H214" s="14">
        <v>18</v>
      </c>
      <c r="I214" s="14">
        <v>16.899999999999999</v>
      </c>
      <c r="J214" s="14">
        <v>16.899999999999999</v>
      </c>
      <c r="K214" s="14">
        <v>16.899999999999999</v>
      </c>
      <c r="M214" s="14">
        <f t="shared" si="107"/>
        <v>9.76</v>
      </c>
      <c r="O214" s="14" t="e">
        <f>#REF!</f>
        <v>#REF!</v>
      </c>
      <c r="P214" s="14" t="e">
        <f>#REF!</f>
        <v>#REF!</v>
      </c>
      <c r="Q214" s="14" t="e">
        <f>#REF!</f>
        <v>#REF!</v>
      </c>
      <c r="R214" s="22" t="e">
        <f t="shared" ref="R214:S214" si="128">Q214</f>
        <v>#REF!</v>
      </c>
      <c r="S214" s="22" t="e">
        <f t="shared" si="128"/>
        <v>#REF!</v>
      </c>
      <c r="U214" s="14" t="e">
        <f>#REF!</f>
        <v>#REF!</v>
      </c>
      <c r="W214" s="14" t="e">
        <f t="shared" si="120"/>
        <v>#REF!</v>
      </c>
      <c r="X214" s="14" t="e">
        <f t="shared" si="121"/>
        <v>#REF!</v>
      </c>
      <c r="Y214" s="14" t="e">
        <f t="shared" si="122"/>
        <v>#REF!</v>
      </c>
      <c r="Z214" s="14" t="e">
        <f t="shared" si="123"/>
        <v>#REF!</v>
      </c>
      <c r="AA214" s="14" t="e">
        <f t="shared" si="124"/>
        <v>#REF!</v>
      </c>
    </row>
    <row r="215" spans="1:27" x14ac:dyDescent="0.2">
      <c r="B215" s="9">
        <v>44</v>
      </c>
      <c r="C215" s="9" t="s">
        <v>38</v>
      </c>
      <c r="D215" s="10" t="s">
        <v>21</v>
      </c>
      <c r="E215" s="20" t="s">
        <v>18</v>
      </c>
      <c r="F215" s="10" t="str">
        <f t="shared" si="71"/>
        <v>44ELPECONOMY</v>
      </c>
      <c r="G215" s="14">
        <v>78.25</v>
      </c>
      <c r="H215" s="14">
        <v>77.23</v>
      </c>
      <c r="I215" s="14">
        <v>76.72</v>
      </c>
      <c r="J215" s="14">
        <v>76.72</v>
      </c>
      <c r="K215" s="14">
        <v>76.72</v>
      </c>
      <c r="M215" s="14">
        <f t="shared" si="107"/>
        <v>9.76</v>
      </c>
      <c r="O215" s="14" t="e">
        <f>#REF!</f>
        <v>#REF!</v>
      </c>
      <c r="P215" s="14" t="e">
        <f>#REF!</f>
        <v>#REF!</v>
      </c>
      <c r="Q215" s="14" t="e">
        <f>#REF!</f>
        <v>#REF!</v>
      </c>
      <c r="R215" s="22" t="e">
        <f t="shared" ref="R215:S215" si="129">Q215</f>
        <v>#REF!</v>
      </c>
      <c r="S215" s="22" t="e">
        <f t="shared" si="129"/>
        <v>#REF!</v>
      </c>
      <c r="U215" s="14" t="e">
        <f>#REF!</f>
        <v>#REF!</v>
      </c>
      <c r="W215" s="14" t="e">
        <f t="shared" si="120"/>
        <v>#REF!</v>
      </c>
      <c r="X215" s="14" t="e">
        <f t="shared" si="121"/>
        <v>#REF!</v>
      </c>
      <c r="Y215" s="14" t="e">
        <f t="shared" si="122"/>
        <v>#REF!</v>
      </c>
      <c r="Z215" s="14" t="e">
        <f t="shared" si="123"/>
        <v>#REF!</v>
      </c>
      <c r="AA215" s="14" t="e">
        <f t="shared" si="124"/>
        <v>#REF!</v>
      </c>
    </row>
    <row r="216" spans="1:27" x14ac:dyDescent="0.2">
      <c r="B216" s="9">
        <v>45</v>
      </c>
      <c r="C216" s="9" t="s">
        <v>38</v>
      </c>
      <c r="D216" s="10" t="s">
        <v>21</v>
      </c>
      <c r="E216" s="20" t="s">
        <v>18</v>
      </c>
      <c r="F216" s="10" t="str">
        <f t="shared" si="71"/>
        <v>45ELPECONOMY</v>
      </c>
      <c r="G216" s="14">
        <v>81.31</v>
      </c>
      <c r="H216" s="14">
        <v>80.8</v>
      </c>
      <c r="I216" s="14">
        <v>80.290000000000006</v>
      </c>
      <c r="J216" s="14">
        <v>80.290000000000006</v>
      </c>
      <c r="K216" s="14">
        <v>80.290000000000006</v>
      </c>
      <c r="M216" s="14">
        <f t="shared" si="107"/>
        <v>9.76</v>
      </c>
      <c r="O216" s="14" t="e">
        <f>#REF!</f>
        <v>#REF!</v>
      </c>
      <c r="P216" s="14" t="e">
        <f>#REF!</f>
        <v>#REF!</v>
      </c>
      <c r="Q216" s="14" t="e">
        <f>#REF!</f>
        <v>#REF!</v>
      </c>
      <c r="R216" s="22" t="e">
        <f t="shared" ref="R216:S216" si="130">Q216</f>
        <v>#REF!</v>
      </c>
      <c r="S216" s="22" t="e">
        <f t="shared" si="130"/>
        <v>#REF!</v>
      </c>
      <c r="U216" s="14" t="e">
        <f>#REF!</f>
        <v>#REF!</v>
      </c>
      <c r="W216" s="14" t="e">
        <f t="shared" si="120"/>
        <v>#REF!</v>
      </c>
      <c r="X216" s="14" t="e">
        <f t="shared" si="121"/>
        <v>#REF!</v>
      </c>
      <c r="Y216" s="14" t="e">
        <f t="shared" si="122"/>
        <v>#REF!</v>
      </c>
      <c r="Z216" s="14" t="e">
        <f t="shared" si="123"/>
        <v>#REF!</v>
      </c>
      <c r="AA216" s="14" t="e">
        <f t="shared" si="124"/>
        <v>#REF!</v>
      </c>
    </row>
    <row r="217" spans="1:27" x14ac:dyDescent="0.2">
      <c r="B217" s="9">
        <v>51</v>
      </c>
      <c r="C217" s="9" t="s">
        <v>39</v>
      </c>
      <c r="D217" s="10" t="s">
        <v>21</v>
      </c>
      <c r="E217" s="20" t="s">
        <v>18</v>
      </c>
      <c r="F217" s="10" t="str">
        <f t="shared" si="71"/>
        <v>51ELPECONOMY</v>
      </c>
      <c r="G217" s="18">
        <v>14.55</v>
      </c>
      <c r="H217" s="18">
        <v>13</v>
      </c>
      <c r="I217" s="18">
        <v>11.9</v>
      </c>
      <c r="J217" s="18">
        <v>11.9</v>
      </c>
      <c r="K217" s="18">
        <v>11.9</v>
      </c>
      <c r="M217" s="18">
        <f t="shared" si="107"/>
        <v>9.76</v>
      </c>
      <c r="O217" s="18" t="e">
        <f>#REF!</f>
        <v>#REF!</v>
      </c>
      <c r="P217" s="18" t="e">
        <f>#REF!</f>
        <v>#REF!</v>
      </c>
      <c r="Q217" s="18" t="e">
        <f>#REF!</f>
        <v>#REF!</v>
      </c>
      <c r="R217" s="22" t="e">
        <f t="shared" ref="R217:S217" si="131">Q217</f>
        <v>#REF!</v>
      </c>
      <c r="S217" s="22" t="e">
        <f t="shared" si="131"/>
        <v>#REF!</v>
      </c>
      <c r="U217" s="18" t="e">
        <f>#REF!</f>
        <v>#REF!</v>
      </c>
      <c r="W217" s="18" t="e">
        <f t="shared" si="120"/>
        <v>#REF!</v>
      </c>
      <c r="X217" s="18" t="e">
        <f t="shared" si="121"/>
        <v>#REF!</v>
      </c>
      <c r="Y217" s="18" t="e">
        <f t="shared" si="122"/>
        <v>#REF!</v>
      </c>
      <c r="Z217" s="18" t="e">
        <f t="shared" si="123"/>
        <v>#REF!</v>
      </c>
      <c r="AA217" s="18" t="e">
        <f t="shared" si="124"/>
        <v>#REF!</v>
      </c>
    </row>
    <row r="218" spans="1:27" x14ac:dyDescent="0.2">
      <c r="B218" s="9">
        <v>52</v>
      </c>
      <c r="C218" s="9" t="s">
        <v>39</v>
      </c>
      <c r="D218" s="10" t="s">
        <v>21</v>
      </c>
      <c r="E218" s="20" t="s">
        <v>18</v>
      </c>
      <c r="F218" s="10" t="str">
        <f t="shared" si="71"/>
        <v>52ELPECONOMY</v>
      </c>
      <c r="G218" s="18">
        <v>16.55</v>
      </c>
      <c r="H218" s="18">
        <v>15.2</v>
      </c>
      <c r="I218" s="18">
        <v>14.1</v>
      </c>
      <c r="J218" s="18">
        <v>14.1</v>
      </c>
      <c r="K218" s="18">
        <v>14.1</v>
      </c>
      <c r="M218" s="18">
        <f t="shared" si="107"/>
        <v>9.76</v>
      </c>
      <c r="O218" s="18" t="e">
        <f>#REF!</f>
        <v>#REF!</v>
      </c>
      <c r="P218" s="18" t="e">
        <f>#REF!</f>
        <v>#REF!</v>
      </c>
      <c r="Q218" s="18" t="e">
        <f>#REF!</f>
        <v>#REF!</v>
      </c>
      <c r="R218" s="22" t="e">
        <f t="shared" ref="R218:S218" si="132">Q218</f>
        <v>#REF!</v>
      </c>
      <c r="S218" s="22" t="e">
        <f t="shared" si="132"/>
        <v>#REF!</v>
      </c>
      <c r="U218" s="18" t="e">
        <f>#REF!</f>
        <v>#REF!</v>
      </c>
      <c r="W218" s="18" t="e">
        <f t="shared" si="120"/>
        <v>#REF!</v>
      </c>
      <c r="X218" s="18" t="e">
        <f t="shared" si="121"/>
        <v>#REF!</v>
      </c>
      <c r="Y218" s="18" t="e">
        <f t="shared" si="122"/>
        <v>#REF!</v>
      </c>
      <c r="Z218" s="18" t="e">
        <f t="shared" si="123"/>
        <v>#REF!</v>
      </c>
      <c r="AA218" s="18" t="e">
        <f t="shared" si="124"/>
        <v>#REF!</v>
      </c>
    </row>
    <row r="219" spans="1:27" x14ac:dyDescent="0.2">
      <c r="B219" s="9">
        <v>53</v>
      </c>
      <c r="C219" s="9" t="s">
        <v>39</v>
      </c>
      <c r="D219" s="10" t="s">
        <v>21</v>
      </c>
      <c r="E219" s="20" t="s">
        <v>18</v>
      </c>
      <c r="F219" s="10" t="str">
        <f t="shared" si="71"/>
        <v>53ELPECONOMY</v>
      </c>
      <c r="G219" s="18">
        <v>19.55</v>
      </c>
      <c r="H219" s="18">
        <v>18</v>
      </c>
      <c r="I219" s="18">
        <v>16.899999999999999</v>
      </c>
      <c r="J219" s="18">
        <v>16.899999999999999</v>
      </c>
      <c r="K219" s="18">
        <v>16.899999999999999</v>
      </c>
      <c r="M219" s="18">
        <f t="shared" si="107"/>
        <v>9.76</v>
      </c>
      <c r="O219" s="18" t="e">
        <f>#REF!</f>
        <v>#REF!</v>
      </c>
      <c r="P219" s="18" t="e">
        <f>#REF!</f>
        <v>#REF!</v>
      </c>
      <c r="Q219" s="18" t="e">
        <f>#REF!</f>
        <v>#REF!</v>
      </c>
      <c r="R219" s="22" t="e">
        <f t="shared" ref="R219:S219" si="133">Q219</f>
        <v>#REF!</v>
      </c>
      <c r="S219" s="22" t="e">
        <f t="shared" si="133"/>
        <v>#REF!</v>
      </c>
      <c r="U219" s="18" t="e">
        <f>#REF!</f>
        <v>#REF!</v>
      </c>
      <c r="W219" s="18" t="e">
        <f t="shared" si="120"/>
        <v>#REF!</v>
      </c>
      <c r="X219" s="18" t="e">
        <f t="shared" si="121"/>
        <v>#REF!</v>
      </c>
      <c r="Y219" s="18" t="e">
        <f t="shared" si="122"/>
        <v>#REF!</v>
      </c>
      <c r="Z219" s="18" t="e">
        <f t="shared" si="123"/>
        <v>#REF!</v>
      </c>
      <c r="AA219" s="18" t="e">
        <f t="shared" si="124"/>
        <v>#REF!</v>
      </c>
    </row>
    <row r="220" spans="1:27" x14ac:dyDescent="0.2">
      <c r="B220" s="9">
        <v>54</v>
      </c>
      <c r="C220" s="9" t="s">
        <v>39</v>
      </c>
      <c r="D220" s="10" t="s">
        <v>21</v>
      </c>
      <c r="E220" s="20" t="s">
        <v>18</v>
      </c>
      <c r="F220" s="10" t="str">
        <f t="shared" si="71"/>
        <v>54ELPECONOMY</v>
      </c>
      <c r="G220" s="18">
        <v>22.55</v>
      </c>
      <c r="H220" s="18">
        <v>20.8</v>
      </c>
      <c r="I220" s="18">
        <v>19.7</v>
      </c>
      <c r="J220" s="18">
        <v>19.7</v>
      </c>
      <c r="K220" s="18">
        <v>19.7</v>
      </c>
      <c r="M220" s="18">
        <f t="shared" si="107"/>
        <v>9.76</v>
      </c>
      <c r="O220" s="18" t="e">
        <f>#REF!</f>
        <v>#REF!</v>
      </c>
      <c r="P220" s="18" t="e">
        <f>#REF!</f>
        <v>#REF!</v>
      </c>
      <c r="Q220" s="18" t="e">
        <f>#REF!</f>
        <v>#REF!</v>
      </c>
      <c r="R220" s="22" t="e">
        <f t="shared" ref="R220:S220" si="134">Q220</f>
        <v>#REF!</v>
      </c>
      <c r="S220" s="22" t="e">
        <f t="shared" si="134"/>
        <v>#REF!</v>
      </c>
      <c r="U220" s="18" t="e">
        <f>#REF!</f>
        <v>#REF!</v>
      </c>
      <c r="W220" s="18" t="e">
        <f t="shared" si="120"/>
        <v>#REF!</v>
      </c>
      <c r="X220" s="18" t="e">
        <f t="shared" si="121"/>
        <v>#REF!</v>
      </c>
      <c r="Y220" s="18" t="e">
        <f t="shared" si="122"/>
        <v>#REF!</v>
      </c>
      <c r="Z220" s="18" t="e">
        <f t="shared" si="123"/>
        <v>#REF!</v>
      </c>
      <c r="AA220" s="18" t="e">
        <f t="shared" si="124"/>
        <v>#REF!</v>
      </c>
    </row>
    <row r="221" spans="1:27" x14ac:dyDescent="0.2">
      <c r="B221" s="9">
        <v>1</v>
      </c>
      <c r="C221" s="9" t="s">
        <v>36</v>
      </c>
      <c r="D221" s="10" t="s">
        <v>14</v>
      </c>
      <c r="E221" s="19" t="s">
        <v>12</v>
      </c>
      <c r="F221" s="10" t="str">
        <f t="shared" si="71"/>
        <v>1HPPREMIUM</v>
      </c>
      <c r="G221" s="11">
        <v>20.917349999999999</v>
      </c>
      <c r="H221" s="11">
        <v>20.917349999999999</v>
      </c>
      <c r="I221" s="11">
        <v>20.917349999999999</v>
      </c>
      <c r="J221" s="11">
        <v>20.917349999999999</v>
      </c>
      <c r="K221" s="11">
        <v>20.917349999999999</v>
      </c>
      <c r="M221" s="11">
        <f t="shared" si="107"/>
        <v>11.61</v>
      </c>
      <c r="O221" s="11" t="e">
        <f>#REF!</f>
        <v>#REF!</v>
      </c>
      <c r="P221" s="22" t="e">
        <f>O221</f>
        <v>#REF!</v>
      </c>
      <c r="Q221" s="22" t="e">
        <f t="shared" ref="Q221:S221" si="135">P221</f>
        <v>#REF!</v>
      </c>
      <c r="R221" s="22" t="e">
        <f t="shared" si="135"/>
        <v>#REF!</v>
      </c>
      <c r="S221" s="22" t="e">
        <f t="shared" si="135"/>
        <v>#REF!</v>
      </c>
      <c r="U221" s="11" t="e">
        <f>#REF!</f>
        <v>#REF!</v>
      </c>
      <c r="W221" s="11" t="e">
        <f t="shared" si="120"/>
        <v>#REF!</v>
      </c>
      <c r="X221" s="11" t="e">
        <f t="shared" si="121"/>
        <v>#REF!</v>
      </c>
      <c r="Y221" s="11" t="e">
        <f t="shared" si="122"/>
        <v>#REF!</v>
      </c>
      <c r="Z221" s="11" t="e">
        <f t="shared" si="123"/>
        <v>#REF!</v>
      </c>
      <c r="AA221" s="11" t="e">
        <f t="shared" si="124"/>
        <v>#REF!</v>
      </c>
    </row>
    <row r="222" spans="1:27" x14ac:dyDescent="0.2">
      <c r="B222" s="9">
        <v>2</v>
      </c>
      <c r="C222" s="9" t="s">
        <v>36</v>
      </c>
      <c r="D222" s="10" t="s">
        <v>14</v>
      </c>
      <c r="E222" s="19" t="s">
        <v>12</v>
      </c>
      <c r="F222" s="10" t="str">
        <f t="shared" si="71"/>
        <v>2HPPREMIUM</v>
      </c>
      <c r="G222" s="11">
        <v>22.086899999999996</v>
      </c>
      <c r="H222" s="11">
        <v>22.086899999999996</v>
      </c>
      <c r="I222" s="11">
        <v>22.086899999999996</v>
      </c>
      <c r="J222" s="11">
        <v>22.086899999999996</v>
      </c>
      <c r="K222" s="11">
        <v>22.086899999999996</v>
      </c>
      <c r="M222" s="11">
        <f t="shared" si="107"/>
        <v>11.61</v>
      </c>
      <c r="O222" s="11" t="e">
        <f>#REF!</f>
        <v>#REF!</v>
      </c>
      <c r="P222" s="22" t="e">
        <f t="shared" ref="P222:S222" si="136">O222</f>
        <v>#REF!</v>
      </c>
      <c r="Q222" s="22" t="e">
        <f t="shared" si="136"/>
        <v>#REF!</v>
      </c>
      <c r="R222" s="22" t="e">
        <f t="shared" si="136"/>
        <v>#REF!</v>
      </c>
      <c r="S222" s="22" t="e">
        <f t="shared" si="136"/>
        <v>#REF!</v>
      </c>
      <c r="U222" s="11" t="e">
        <f>#REF!</f>
        <v>#REF!</v>
      </c>
      <c r="W222" s="11" t="e">
        <f t="shared" si="120"/>
        <v>#REF!</v>
      </c>
      <c r="X222" s="11" t="e">
        <f t="shared" si="121"/>
        <v>#REF!</v>
      </c>
      <c r="Y222" s="11" t="e">
        <f t="shared" si="122"/>
        <v>#REF!</v>
      </c>
      <c r="Z222" s="11" t="e">
        <f t="shared" si="123"/>
        <v>#REF!</v>
      </c>
      <c r="AA222" s="11" t="e">
        <f t="shared" si="124"/>
        <v>#REF!</v>
      </c>
    </row>
    <row r="223" spans="1:27" s="3" customFormat="1" x14ac:dyDescent="0.2">
      <c r="A223" s="4"/>
      <c r="B223" s="9">
        <v>3</v>
      </c>
      <c r="C223" s="9" t="s">
        <v>36</v>
      </c>
      <c r="D223" s="10" t="s">
        <v>14</v>
      </c>
      <c r="E223" s="19" t="s">
        <v>12</v>
      </c>
      <c r="F223" s="10" t="str">
        <f t="shared" si="71"/>
        <v>3HPPREMIUM</v>
      </c>
      <c r="G223" s="11">
        <v>24.5916</v>
      </c>
      <c r="H223" s="11">
        <v>24.5916</v>
      </c>
      <c r="I223" s="11">
        <v>24.5916</v>
      </c>
      <c r="J223" s="11">
        <v>24.5916</v>
      </c>
      <c r="K223" s="11">
        <v>24.5916</v>
      </c>
      <c r="M223" s="11">
        <f t="shared" si="107"/>
        <v>11.61</v>
      </c>
      <c r="O223" s="11" t="e">
        <f>#REF!</f>
        <v>#REF!</v>
      </c>
      <c r="P223" s="22" t="e">
        <f t="shared" ref="P223:S223" si="137">O223</f>
        <v>#REF!</v>
      </c>
      <c r="Q223" s="22" t="e">
        <f t="shared" si="137"/>
        <v>#REF!</v>
      </c>
      <c r="R223" s="22" t="e">
        <f t="shared" si="137"/>
        <v>#REF!</v>
      </c>
      <c r="S223" s="22" t="e">
        <f t="shared" si="137"/>
        <v>#REF!</v>
      </c>
      <c r="U223" s="11" t="e">
        <f>#REF!</f>
        <v>#REF!</v>
      </c>
      <c r="W223" s="11" t="e">
        <f t="shared" si="120"/>
        <v>#REF!</v>
      </c>
      <c r="X223" s="11" t="e">
        <f t="shared" si="121"/>
        <v>#REF!</v>
      </c>
      <c r="Y223" s="11" t="e">
        <f t="shared" si="122"/>
        <v>#REF!</v>
      </c>
      <c r="Z223" s="11" t="e">
        <f t="shared" si="123"/>
        <v>#REF!</v>
      </c>
      <c r="AA223" s="11" t="e">
        <f t="shared" si="124"/>
        <v>#REF!</v>
      </c>
    </row>
    <row r="224" spans="1:27" s="3" customFormat="1" x14ac:dyDescent="0.2">
      <c r="A224" s="4"/>
      <c r="B224" s="9">
        <v>4</v>
      </c>
      <c r="C224" s="9" t="s">
        <v>36</v>
      </c>
      <c r="D224" s="10" t="s">
        <v>14</v>
      </c>
      <c r="E224" s="19" t="s">
        <v>12</v>
      </c>
      <c r="F224" s="10" t="str">
        <f t="shared" si="71"/>
        <v>4HPPREMIUM</v>
      </c>
      <c r="G224" s="11">
        <v>26.920349999999999</v>
      </c>
      <c r="H224" s="11">
        <v>26.920349999999999</v>
      </c>
      <c r="I224" s="11">
        <v>26.920349999999999</v>
      </c>
      <c r="J224" s="11">
        <v>26.920349999999999</v>
      </c>
      <c r="K224" s="11">
        <v>26.920349999999999</v>
      </c>
      <c r="M224" s="11">
        <f t="shared" si="107"/>
        <v>11.61</v>
      </c>
      <c r="O224" s="11" t="e">
        <f>#REF!</f>
        <v>#REF!</v>
      </c>
      <c r="P224" s="22" t="e">
        <f t="shared" ref="P224:S224" si="138">O224</f>
        <v>#REF!</v>
      </c>
      <c r="Q224" s="22" t="e">
        <f t="shared" si="138"/>
        <v>#REF!</v>
      </c>
      <c r="R224" s="22" t="e">
        <f t="shared" si="138"/>
        <v>#REF!</v>
      </c>
      <c r="S224" s="22" t="e">
        <f t="shared" si="138"/>
        <v>#REF!</v>
      </c>
      <c r="U224" s="11" t="e">
        <f>#REF!</f>
        <v>#REF!</v>
      </c>
      <c r="W224" s="11" t="e">
        <f t="shared" si="120"/>
        <v>#REF!</v>
      </c>
      <c r="X224" s="11" t="e">
        <f t="shared" si="121"/>
        <v>#REF!</v>
      </c>
      <c r="Y224" s="11" t="e">
        <f t="shared" si="122"/>
        <v>#REF!</v>
      </c>
      <c r="Z224" s="11" t="e">
        <f t="shared" si="123"/>
        <v>#REF!</v>
      </c>
      <c r="AA224" s="11" t="e">
        <f t="shared" si="124"/>
        <v>#REF!</v>
      </c>
    </row>
    <row r="225" spans="1:27" s="3" customFormat="1" x14ac:dyDescent="0.2">
      <c r="A225" s="4"/>
      <c r="B225" s="9">
        <v>5</v>
      </c>
      <c r="C225" s="9" t="s">
        <v>36</v>
      </c>
      <c r="D225" s="10" t="s">
        <v>14</v>
      </c>
      <c r="E225" s="19" t="s">
        <v>12</v>
      </c>
      <c r="F225" s="10" t="str">
        <f t="shared" si="71"/>
        <v>5HPPREMIUM</v>
      </c>
      <c r="G225" s="11">
        <v>29.808</v>
      </c>
      <c r="H225" s="11">
        <v>29.808</v>
      </c>
      <c r="I225" s="11">
        <v>29.808</v>
      </c>
      <c r="J225" s="11">
        <v>29.808</v>
      </c>
      <c r="K225" s="11">
        <v>29.808</v>
      </c>
      <c r="M225" s="11">
        <f t="shared" si="107"/>
        <v>11.61</v>
      </c>
      <c r="O225" s="11" t="e">
        <f>#REF!</f>
        <v>#REF!</v>
      </c>
      <c r="P225" s="22" t="e">
        <f t="shared" ref="P225:S225" si="139">O225</f>
        <v>#REF!</v>
      </c>
      <c r="Q225" s="22" t="e">
        <f t="shared" si="139"/>
        <v>#REF!</v>
      </c>
      <c r="R225" s="22" t="e">
        <f t="shared" si="139"/>
        <v>#REF!</v>
      </c>
      <c r="S225" s="22" t="e">
        <f t="shared" si="139"/>
        <v>#REF!</v>
      </c>
      <c r="U225" s="11" t="e">
        <f>#REF!</f>
        <v>#REF!</v>
      </c>
      <c r="W225" s="11" t="e">
        <f t="shared" si="120"/>
        <v>#REF!</v>
      </c>
      <c r="X225" s="11" t="e">
        <f t="shared" si="121"/>
        <v>#REF!</v>
      </c>
      <c r="Y225" s="11" t="e">
        <f t="shared" si="122"/>
        <v>#REF!</v>
      </c>
      <c r="Z225" s="11" t="e">
        <f t="shared" si="123"/>
        <v>#REF!</v>
      </c>
      <c r="AA225" s="11" t="e">
        <f t="shared" si="124"/>
        <v>#REF!</v>
      </c>
    </row>
    <row r="226" spans="1:27" s="3" customFormat="1" x14ac:dyDescent="0.2">
      <c r="A226" s="4"/>
      <c r="B226" s="9">
        <v>6</v>
      </c>
      <c r="C226" s="9" t="s">
        <v>36</v>
      </c>
      <c r="D226" s="10" t="s">
        <v>14</v>
      </c>
      <c r="E226" s="19" t="s">
        <v>12</v>
      </c>
      <c r="F226" s="10" t="str">
        <f t="shared" si="71"/>
        <v>6HPPREMIUM</v>
      </c>
      <c r="G226" s="11">
        <v>35.748899999999999</v>
      </c>
      <c r="H226" s="11">
        <v>35.748899999999999</v>
      </c>
      <c r="I226" s="11">
        <v>35.748899999999999</v>
      </c>
      <c r="J226" s="11">
        <v>35.748899999999999</v>
      </c>
      <c r="K226" s="11">
        <v>35.748899999999999</v>
      </c>
      <c r="M226" s="11">
        <f t="shared" si="107"/>
        <v>11.61</v>
      </c>
      <c r="O226" s="11" t="e">
        <f>#REF!</f>
        <v>#REF!</v>
      </c>
      <c r="P226" s="22" t="e">
        <f t="shared" ref="P226:S226" si="140">O226</f>
        <v>#REF!</v>
      </c>
      <c r="Q226" s="22" t="e">
        <f t="shared" si="140"/>
        <v>#REF!</v>
      </c>
      <c r="R226" s="22" t="e">
        <f t="shared" si="140"/>
        <v>#REF!</v>
      </c>
      <c r="S226" s="22" t="e">
        <f t="shared" si="140"/>
        <v>#REF!</v>
      </c>
      <c r="U226" s="11" t="e">
        <f>#REF!</f>
        <v>#REF!</v>
      </c>
      <c r="W226" s="11" t="e">
        <f t="shared" si="120"/>
        <v>#REF!</v>
      </c>
      <c r="X226" s="11" t="e">
        <f t="shared" si="121"/>
        <v>#REF!</v>
      </c>
      <c r="Y226" s="11" t="e">
        <f t="shared" si="122"/>
        <v>#REF!</v>
      </c>
      <c r="Z226" s="11" t="e">
        <f t="shared" si="123"/>
        <v>#REF!</v>
      </c>
      <c r="AA226" s="11" t="e">
        <f t="shared" si="124"/>
        <v>#REF!</v>
      </c>
    </row>
    <row r="227" spans="1:27" s="3" customFormat="1" x14ac:dyDescent="0.2">
      <c r="A227" s="4"/>
      <c r="B227" s="9">
        <v>7</v>
      </c>
      <c r="C227" s="9" t="s">
        <v>36</v>
      </c>
      <c r="D227" s="10" t="s">
        <v>14</v>
      </c>
      <c r="E227" s="19" t="s">
        <v>12</v>
      </c>
      <c r="F227" s="10" t="str">
        <f t="shared" si="71"/>
        <v>7HPPREMIUM</v>
      </c>
      <c r="G227" s="11">
        <v>44.401499999999999</v>
      </c>
      <c r="H227" s="11">
        <v>44.401499999999999</v>
      </c>
      <c r="I227" s="11">
        <v>44.401499999999999</v>
      </c>
      <c r="J227" s="11">
        <v>44.401499999999999</v>
      </c>
      <c r="K227" s="11">
        <v>44.401499999999999</v>
      </c>
      <c r="M227" s="11">
        <f t="shared" si="107"/>
        <v>11.61</v>
      </c>
      <c r="O227" s="11" t="e">
        <f>#REF!</f>
        <v>#REF!</v>
      </c>
      <c r="P227" s="22" t="e">
        <f t="shared" ref="P227:S227" si="141">O227</f>
        <v>#REF!</v>
      </c>
      <c r="Q227" s="22" t="e">
        <f t="shared" si="141"/>
        <v>#REF!</v>
      </c>
      <c r="R227" s="22" t="e">
        <f t="shared" si="141"/>
        <v>#REF!</v>
      </c>
      <c r="S227" s="22" t="e">
        <f t="shared" si="141"/>
        <v>#REF!</v>
      </c>
      <c r="U227" s="11" t="e">
        <f>#REF!</f>
        <v>#REF!</v>
      </c>
      <c r="W227" s="11" t="e">
        <f t="shared" si="120"/>
        <v>#REF!</v>
      </c>
      <c r="X227" s="11" t="e">
        <f t="shared" si="121"/>
        <v>#REF!</v>
      </c>
      <c r="Y227" s="11" t="e">
        <f t="shared" si="122"/>
        <v>#REF!</v>
      </c>
      <c r="Z227" s="11" t="e">
        <f t="shared" si="123"/>
        <v>#REF!</v>
      </c>
      <c r="AA227" s="11" t="e">
        <f t="shared" si="124"/>
        <v>#REF!</v>
      </c>
    </row>
    <row r="228" spans="1:27" s="3" customFormat="1" x14ac:dyDescent="0.2">
      <c r="A228" s="4"/>
      <c r="B228" s="9">
        <v>8</v>
      </c>
      <c r="C228" s="9" t="s">
        <v>36</v>
      </c>
      <c r="D228" s="10" t="s">
        <v>14</v>
      </c>
      <c r="E228" s="19" t="s">
        <v>12</v>
      </c>
      <c r="F228" s="10" t="str">
        <f t="shared" si="71"/>
        <v>8HPPREMIUM</v>
      </c>
      <c r="G228" s="11">
        <v>62.78309999999999</v>
      </c>
      <c r="H228" s="11">
        <v>62.78309999999999</v>
      </c>
      <c r="I228" s="11">
        <v>62.78309999999999</v>
      </c>
      <c r="J228" s="11">
        <v>62.78309999999999</v>
      </c>
      <c r="K228" s="11">
        <v>62.78309999999999</v>
      </c>
      <c r="M228" s="11">
        <f t="shared" si="107"/>
        <v>11.61</v>
      </c>
      <c r="O228" s="11" t="e">
        <f>#REF!</f>
        <v>#REF!</v>
      </c>
      <c r="P228" s="22" t="e">
        <f t="shared" ref="P228:S228" si="142">O228</f>
        <v>#REF!</v>
      </c>
      <c r="Q228" s="22" t="e">
        <f t="shared" si="142"/>
        <v>#REF!</v>
      </c>
      <c r="R228" s="22" t="e">
        <f t="shared" si="142"/>
        <v>#REF!</v>
      </c>
      <c r="S228" s="22" t="e">
        <f t="shared" si="142"/>
        <v>#REF!</v>
      </c>
      <c r="U228" s="11" t="e">
        <f>#REF!</f>
        <v>#REF!</v>
      </c>
      <c r="W228" s="11" t="e">
        <f t="shared" si="120"/>
        <v>#REF!</v>
      </c>
      <c r="X228" s="11" t="e">
        <f t="shared" si="121"/>
        <v>#REF!</v>
      </c>
      <c r="Y228" s="11" t="e">
        <f t="shared" si="122"/>
        <v>#REF!</v>
      </c>
      <c r="Z228" s="11" t="e">
        <f t="shared" si="123"/>
        <v>#REF!</v>
      </c>
      <c r="AA228" s="11" t="e">
        <f t="shared" si="124"/>
        <v>#REF!</v>
      </c>
    </row>
    <row r="229" spans="1:27" s="3" customFormat="1" x14ac:dyDescent="0.2">
      <c r="A229" s="4"/>
      <c r="B229" s="9">
        <v>9</v>
      </c>
      <c r="C229" s="9" t="s">
        <v>36</v>
      </c>
      <c r="D229" s="10" t="s">
        <v>14</v>
      </c>
      <c r="E229" s="19" t="s">
        <v>12</v>
      </c>
      <c r="F229" s="10" t="str">
        <f t="shared" si="71"/>
        <v>9HPPREMIUM</v>
      </c>
      <c r="G229" s="11">
        <v>102.30974999999998</v>
      </c>
      <c r="H229" s="11">
        <v>102.30974999999998</v>
      </c>
      <c r="I229" s="11">
        <v>102.30974999999998</v>
      </c>
      <c r="J229" s="11">
        <v>102.30974999999998</v>
      </c>
      <c r="K229" s="11">
        <v>102.30974999999998</v>
      </c>
      <c r="M229" s="11">
        <f t="shared" si="107"/>
        <v>11.61</v>
      </c>
      <c r="O229" s="11" t="e">
        <f>#REF!</f>
        <v>#REF!</v>
      </c>
      <c r="P229" s="22" t="e">
        <f t="shared" ref="P229:S229" si="143">O229</f>
        <v>#REF!</v>
      </c>
      <c r="Q229" s="22" t="e">
        <f t="shared" si="143"/>
        <v>#REF!</v>
      </c>
      <c r="R229" s="22" t="e">
        <f t="shared" si="143"/>
        <v>#REF!</v>
      </c>
      <c r="S229" s="22" t="e">
        <f t="shared" si="143"/>
        <v>#REF!</v>
      </c>
      <c r="U229" s="11" t="e">
        <f>#REF!</f>
        <v>#REF!</v>
      </c>
      <c r="W229" s="11" t="e">
        <f t="shared" si="120"/>
        <v>#REF!</v>
      </c>
      <c r="X229" s="11" t="e">
        <f t="shared" si="121"/>
        <v>#REF!</v>
      </c>
      <c r="Y229" s="11" t="e">
        <f t="shared" si="122"/>
        <v>#REF!</v>
      </c>
      <c r="Z229" s="11" t="e">
        <f t="shared" si="123"/>
        <v>#REF!</v>
      </c>
      <c r="AA229" s="11" t="e">
        <f t="shared" si="124"/>
        <v>#REF!</v>
      </c>
    </row>
    <row r="230" spans="1:27" s="3" customFormat="1" x14ac:dyDescent="0.2">
      <c r="A230" s="4"/>
      <c r="B230" s="9">
        <v>10</v>
      </c>
      <c r="C230" s="9" t="s">
        <v>36</v>
      </c>
      <c r="D230" s="10" t="s">
        <v>14</v>
      </c>
      <c r="E230" s="19" t="s">
        <v>12</v>
      </c>
      <c r="F230" s="10" t="str">
        <f t="shared" si="71"/>
        <v>10HPPREMIUM</v>
      </c>
      <c r="G230" s="11">
        <v>105.05249999999999</v>
      </c>
      <c r="H230" s="11">
        <v>105.05249999999999</v>
      </c>
      <c r="I230" s="11">
        <v>105.05249999999999</v>
      </c>
      <c r="J230" s="11">
        <v>105.05249999999999</v>
      </c>
      <c r="K230" s="11">
        <v>105.05249999999999</v>
      </c>
      <c r="M230" s="11">
        <f t="shared" si="107"/>
        <v>11.61</v>
      </c>
      <c r="O230" s="11" t="e">
        <f>#REF!</f>
        <v>#REF!</v>
      </c>
      <c r="P230" s="22" t="e">
        <f t="shared" ref="P230:S230" si="144">O230</f>
        <v>#REF!</v>
      </c>
      <c r="Q230" s="22" t="e">
        <f t="shared" si="144"/>
        <v>#REF!</v>
      </c>
      <c r="R230" s="22" t="e">
        <f t="shared" si="144"/>
        <v>#REF!</v>
      </c>
      <c r="S230" s="22" t="e">
        <f t="shared" si="144"/>
        <v>#REF!</v>
      </c>
      <c r="U230" s="11" t="e">
        <f>#REF!</f>
        <v>#REF!</v>
      </c>
      <c r="W230" s="11" t="e">
        <f t="shared" si="120"/>
        <v>#REF!</v>
      </c>
      <c r="X230" s="11" t="e">
        <f t="shared" si="121"/>
        <v>#REF!</v>
      </c>
      <c r="Y230" s="11" t="e">
        <f t="shared" si="122"/>
        <v>#REF!</v>
      </c>
      <c r="Z230" s="11" t="e">
        <f t="shared" si="123"/>
        <v>#REF!</v>
      </c>
      <c r="AA230" s="11" t="e">
        <f t="shared" si="124"/>
        <v>#REF!</v>
      </c>
    </row>
    <row r="231" spans="1:27" s="3" customFormat="1" x14ac:dyDescent="0.2">
      <c r="A231" s="4"/>
      <c r="B231" s="9">
        <v>11</v>
      </c>
      <c r="C231" s="9" t="s">
        <v>36</v>
      </c>
      <c r="D231" s="10" t="s">
        <v>14</v>
      </c>
      <c r="E231" s="19" t="s">
        <v>12</v>
      </c>
      <c r="F231" s="10" t="str">
        <f t="shared" si="71"/>
        <v>11HPPREMIUM</v>
      </c>
      <c r="G231" s="11">
        <v>103.40684999999999</v>
      </c>
      <c r="H231" s="11">
        <v>103.40684999999999</v>
      </c>
      <c r="I231" s="11">
        <v>103.40684999999999</v>
      </c>
      <c r="J231" s="11">
        <v>103.40684999999999</v>
      </c>
      <c r="K231" s="11">
        <v>103.40684999999999</v>
      </c>
      <c r="M231" s="11">
        <f t="shared" si="107"/>
        <v>11.61</v>
      </c>
      <c r="O231" s="11" t="e">
        <f>#REF!</f>
        <v>#REF!</v>
      </c>
      <c r="P231" s="22" t="e">
        <f t="shared" ref="P231:S231" si="145">O231</f>
        <v>#REF!</v>
      </c>
      <c r="Q231" s="22" t="e">
        <f t="shared" si="145"/>
        <v>#REF!</v>
      </c>
      <c r="R231" s="22" t="e">
        <f t="shared" si="145"/>
        <v>#REF!</v>
      </c>
      <c r="S231" s="22" t="e">
        <f t="shared" si="145"/>
        <v>#REF!</v>
      </c>
      <c r="U231" s="11" t="e">
        <f>#REF!</f>
        <v>#REF!</v>
      </c>
      <c r="W231" s="11" t="e">
        <f t="shared" si="120"/>
        <v>#REF!</v>
      </c>
      <c r="X231" s="11" t="e">
        <f t="shared" si="121"/>
        <v>#REF!</v>
      </c>
      <c r="Y231" s="11" t="e">
        <f t="shared" si="122"/>
        <v>#REF!</v>
      </c>
      <c r="Z231" s="11" t="e">
        <f t="shared" si="123"/>
        <v>#REF!</v>
      </c>
      <c r="AA231" s="11" t="e">
        <f t="shared" si="124"/>
        <v>#REF!</v>
      </c>
    </row>
    <row r="232" spans="1:27" s="3" customFormat="1" x14ac:dyDescent="0.2">
      <c r="A232" s="4"/>
      <c r="B232" s="9">
        <v>12</v>
      </c>
      <c r="C232" s="9" t="s">
        <v>36</v>
      </c>
      <c r="D232" s="10" t="s">
        <v>14</v>
      </c>
      <c r="E232" s="19" t="s">
        <v>12</v>
      </c>
      <c r="F232" s="10" t="str">
        <f t="shared" si="71"/>
        <v>12HPPREMIUM</v>
      </c>
      <c r="G232" s="11">
        <v>151.73099999999999</v>
      </c>
      <c r="H232" s="11">
        <v>151.73099999999999</v>
      </c>
      <c r="I232" s="11">
        <v>151.73099999999999</v>
      </c>
      <c r="J232" s="11">
        <v>151.73099999999999</v>
      </c>
      <c r="K232" s="11">
        <v>151.73099999999999</v>
      </c>
      <c r="M232" s="11">
        <f t="shared" si="107"/>
        <v>11.61</v>
      </c>
      <c r="O232" s="11" t="e">
        <f>#REF!</f>
        <v>#REF!</v>
      </c>
      <c r="P232" s="22" t="e">
        <f t="shared" ref="P232:S233" si="146">O232</f>
        <v>#REF!</v>
      </c>
      <c r="Q232" s="22" t="e">
        <f t="shared" si="146"/>
        <v>#REF!</v>
      </c>
      <c r="R232" s="22" t="e">
        <f t="shared" si="146"/>
        <v>#REF!</v>
      </c>
      <c r="S232" s="22" t="e">
        <f t="shared" si="146"/>
        <v>#REF!</v>
      </c>
      <c r="U232" s="11" t="e">
        <f>#REF!</f>
        <v>#REF!</v>
      </c>
      <c r="W232" s="11" t="e">
        <f t="shared" si="120"/>
        <v>#REF!</v>
      </c>
      <c r="X232" s="11" t="e">
        <f t="shared" si="121"/>
        <v>#REF!</v>
      </c>
      <c r="Y232" s="11" t="e">
        <f t="shared" si="122"/>
        <v>#REF!</v>
      </c>
      <c r="Z232" s="11" t="e">
        <f t="shared" si="123"/>
        <v>#REF!</v>
      </c>
      <c r="AA232" s="11" t="e">
        <f t="shared" si="124"/>
        <v>#REF!</v>
      </c>
    </row>
    <row r="233" spans="1:27" s="3" customFormat="1" x14ac:dyDescent="0.2">
      <c r="A233" s="4"/>
      <c r="B233" s="9">
        <v>13</v>
      </c>
      <c r="C233" s="9" t="s">
        <v>36</v>
      </c>
      <c r="D233" s="10" t="s">
        <v>14</v>
      </c>
      <c r="E233" s="19" t="s">
        <v>12</v>
      </c>
      <c r="F233" s="10" t="str">
        <f t="shared" ref="F233:F234" si="147">B233&amp;D233&amp;E233</f>
        <v>13HPPREMIUM</v>
      </c>
      <c r="G233" s="11">
        <v>210.10499999999999</v>
      </c>
      <c r="H233" s="11">
        <v>210.10499999999999</v>
      </c>
      <c r="I233" s="11">
        <v>210.10499999999999</v>
      </c>
      <c r="J233" s="11">
        <v>210.10499999999999</v>
      </c>
      <c r="K233" s="11">
        <v>210.10499999999999</v>
      </c>
      <c r="M233" s="11">
        <f t="shared" si="107"/>
        <v>11.61</v>
      </c>
      <c r="O233" s="11" t="e">
        <f>#REF!</f>
        <v>#REF!</v>
      </c>
      <c r="P233" s="22" t="e">
        <f t="shared" si="146"/>
        <v>#REF!</v>
      </c>
      <c r="Q233" s="22" t="e">
        <f t="shared" si="146"/>
        <v>#REF!</v>
      </c>
      <c r="R233" s="22" t="e">
        <f t="shared" si="146"/>
        <v>#REF!</v>
      </c>
      <c r="S233" s="22" t="e">
        <f t="shared" si="146"/>
        <v>#REF!</v>
      </c>
      <c r="U233" s="11" t="e">
        <f>#REF!</f>
        <v>#REF!</v>
      </c>
      <c r="W233" s="11" t="e">
        <f t="shared" ref="W233:W234" si="148">G233+$M233+O233+$U233</f>
        <v>#REF!</v>
      </c>
      <c r="X233" s="11" t="e">
        <f t="shared" ref="X233:X234" si="149">H233+$M233+P233+$U233</f>
        <v>#REF!</v>
      </c>
      <c r="Y233" s="11" t="e">
        <f t="shared" ref="Y233:Y234" si="150">I233+$M233+Q233+$U233</f>
        <v>#REF!</v>
      </c>
      <c r="Z233" s="11" t="e">
        <f t="shared" ref="Z233:Z234" si="151">J233+$M233+R233+$U233</f>
        <v>#REF!</v>
      </c>
      <c r="AA233" s="11" t="e">
        <f t="shared" ref="AA233:AA234" si="152">K233+$M233+S233+$U233</f>
        <v>#REF!</v>
      </c>
    </row>
    <row r="234" spans="1:27" s="3" customFormat="1" x14ac:dyDescent="0.2">
      <c r="A234" s="4"/>
      <c r="B234" s="9">
        <v>14</v>
      </c>
      <c r="C234" s="9" t="s">
        <v>36</v>
      </c>
      <c r="D234" s="10" t="s">
        <v>14</v>
      </c>
      <c r="E234" s="19" t="s">
        <v>12</v>
      </c>
      <c r="F234" s="10" t="str">
        <f t="shared" si="147"/>
        <v>14HPPREMIUM</v>
      </c>
      <c r="G234" s="11">
        <v>233.90999999999997</v>
      </c>
      <c r="H234" s="11">
        <v>233.90999999999997</v>
      </c>
      <c r="I234" s="11">
        <v>233.90999999999997</v>
      </c>
      <c r="J234" s="11">
        <v>233.90999999999997</v>
      </c>
      <c r="K234" s="11">
        <v>233.90999999999997</v>
      </c>
      <c r="M234" s="11">
        <f t="shared" si="107"/>
        <v>11.61</v>
      </c>
      <c r="O234" s="11" t="e">
        <f>#REF!</f>
        <v>#REF!</v>
      </c>
      <c r="P234" s="22" t="e">
        <f t="shared" ref="P234:P235" si="153">O234</f>
        <v>#REF!</v>
      </c>
      <c r="Q234" s="22" t="e">
        <f t="shared" ref="Q234:Q235" si="154">P234</f>
        <v>#REF!</v>
      </c>
      <c r="R234" s="22" t="e">
        <f t="shared" ref="R234:R235" si="155">Q234</f>
        <v>#REF!</v>
      </c>
      <c r="S234" s="22" t="e">
        <f t="shared" ref="S234:S235" si="156">R234</f>
        <v>#REF!</v>
      </c>
      <c r="U234" s="11" t="e">
        <f>#REF!</f>
        <v>#REF!</v>
      </c>
      <c r="W234" s="11" t="e">
        <f t="shared" si="148"/>
        <v>#REF!</v>
      </c>
      <c r="X234" s="11" t="e">
        <f t="shared" si="149"/>
        <v>#REF!</v>
      </c>
      <c r="Y234" s="11" t="e">
        <f t="shared" si="150"/>
        <v>#REF!</v>
      </c>
      <c r="Z234" s="11" t="e">
        <f t="shared" si="151"/>
        <v>#REF!</v>
      </c>
      <c r="AA234" s="11" t="e">
        <f t="shared" si="152"/>
        <v>#REF!</v>
      </c>
    </row>
    <row r="235" spans="1:27" s="3" customFormat="1" x14ac:dyDescent="0.2">
      <c r="A235" s="4"/>
      <c r="B235" s="9">
        <v>21</v>
      </c>
      <c r="C235" s="9" t="s">
        <v>37</v>
      </c>
      <c r="D235" s="10" t="s">
        <v>14</v>
      </c>
      <c r="E235" s="19" t="s">
        <v>12</v>
      </c>
      <c r="F235" s="10" t="str">
        <f t="shared" si="71"/>
        <v>21HPPREMIUM</v>
      </c>
      <c r="G235" s="12">
        <v>14.790149999999999</v>
      </c>
      <c r="H235" s="12">
        <v>14.790149999999999</v>
      </c>
      <c r="I235" s="12">
        <v>14.790149999999999</v>
      </c>
      <c r="J235" s="12">
        <v>14.790149999999999</v>
      </c>
      <c r="K235" s="12">
        <v>14.790149999999999</v>
      </c>
      <c r="M235" s="12">
        <f t="shared" si="107"/>
        <v>11.51</v>
      </c>
      <c r="O235" s="12" t="e">
        <f>#REF!</f>
        <v>#REF!</v>
      </c>
      <c r="P235" s="22" t="e">
        <f t="shared" si="153"/>
        <v>#REF!</v>
      </c>
      <c r="Q235" s="22" t="e">
        <f t="shared" si="154"/>
        <v>#REF!</v>
      </c>
      <c r="R235" s="22" t="e">
        <f t="shared" si="155"/>
        <v>#REF!</v>
      </c>
      <c r="S235" s="22" t="e">
        <f t="shared" si="156"/>
        <v>#REF!</v>
      </c>
      <c r="U235" s="12" t="e">
        <f>#REF!</f>
        <v>#REF!</v>
      </c>
      <c r="W235" s="12" t="e">
        <f t="shared" si="120"/>
        <v>#REF!</v>
      </c>
      <c r="X235" s="12" t="e">
        <f t="shared" si="121"/>
        <v>#REF!</v>
      </c>
      <c r="Y235" s="12" t="e">
        <f t="shared" si="122"/>
        <v>#REF!</v>
      </c>
      <c r="Z235" s="12" t="e">
        <f t="shared" si="123"/>
        <v>#REF!</v>
      </c>
      <c r="AA235" s="12" t="e">
        <f t="shared" si="124"/>
        <v>#REF!</v>
      </c>
    </row>
    <row r="236" spans="1:27" s="3" customFormat="1" x14ac:dyDescent="0.2">
      <c r="A236" s="4"/>
      <c r="B236" s="9">
        <v>22</v>
      </c>
      <c r="C236" s="9" t="s">
        <v>37</v>
      </c>
      <c r="D236" s="10" t="s">
        <v>14</v>
      </c>
      <c r="E236" s="19" t="s">
        <v>12</v>
      </c>
      <c r="F236" s="10" t="str">
        <f t="shared" si="71"/>
        <v>22HPPREMIUM</v>
      </c>
      <c r="G236" s="12">
        <v>19.50975</v>
      </c>
      <c r="H236" s="12">
        <v>19.50975</v>
      </c>
      <c r="I236" s="12">
        <v>19.50975</v>
      </c>
      <c r="J236" s="12">
        <v>19.50975</v>
      </c>
      <c r="K236" s="12">
        <v>19.50975</v>
      </c>
      <c r="M236" s="12">
        <f t="shared" si="107"/>
        <v>11.51</v>
      </c>
      <c r="O236" s="12" t="e">
        <f>#REF!</f>
        <v>#REF!</v>
      </c>
      <c r="P236" s="22" t="e">
        <f t="shared" ref="P236:S236" si="157">O236</f>
        <v>#REF!</v>
      </c>
      <c r="Q236" s="22" t="e">
        <f t="shared" si="157"/>
        <v>#REF!</v>
      </c>
      <c r="R236" s="22" t="e">
        <f t="shared" si="157"/>
        <v>#REF!</v>
      </c>
      <c r="S236" s="22" t="e">
        <f t="shared" si="157"/>
        <v>#REF!</v>
      </c>
      <c r="U236" s="12" t="e">
        <f>#REF!</f>
        <v>#REF!</v>
      </c>
      <c r="W236" s="12" t="e">
        <f t="shared" si="120"/>
        <v>#REF!</v>
      </c>
      <c r="X236" s="12" t="e">
        <f t="shared" si="121"/>
        <v>#REF!</v>
      </c>
      <c r="Y236" s="12" t="e">
        <f t="shared" si="122"/>
        <v>#REF!</v>
      </c>
      <c r="Z236" s="12" t="e">
        <f t="shared" si="123"/>
        <v>#REF!</v>
      </c>
      <c r="AA236" s="12" t="e">
        <f t="shared" si="124"/>
        <v>#REF!</v>
      </c>
    </row>
    <row r="237" spans="1:27" s="3" customFormat="1" x14ac:dyDescent="0.2">
      <c r="A237" s="4"/>
      <c r="B237" s="9">
        <v>23</v>
      </c>
      <c r="C237" s="9" t="s">
        <v>37</v>
      </c>
      <c r="D237" s="10" t="s">
        <v>14</v>
      </c>
      <c r="E237" s="19" t="s">
        <v>12</v>
      </c>
      <c r="F237" s="10" t="str">
        <f t="shared" si="71"/>
        <v>23HPPREMIUM</v>
      </c>
      <c r="G237" s="12">
        <v>22.821749999999998</v>
      </c>
      <c r="H237" s="12">
        <v>22.821749999999998</v>
      </c>
      <c r="I237" s="12">
        <v>22.821749999999998</v>
      </c>
      <c r="J237" s="12">
        <v>22.821749999999998</v>
      </c>
      <c r="K237" s="12">
        <v>22.821749999999998</v>
      </c>
      <c r="M237" s="12">
        <f t="shared" si="107"/>
        <v>11.51</v>
      </c>
      <c r="O237" s="12" t="e">
        <f>#REF!</f>
        <v>#REF!</v>
      </c>
      <c r="P237" s="22" t="e">
        <f t="shared" ref="P237:S237" si="158">O237</f>
        <v>#REF!</v>
      </c>
      <c r="Q237" s="22" t="e">
        <f t="shared" si="158"/>
        <v>#REF!</v>
      </c>
      <c r="R237" s="22" t="e">
        <f t="shared" si="158"/>
        <v>#REF!</v>
      </c>
      <c r="S237" s="22" t="e">
        <f t="shared" si="158"/>
        <v>#REF!</v>
      </c>
      <c r="U237" s="12" t="e">
        <f>#REF!</f>
        <v>#REF!</v>
      </c>
      <c r="W237" s="12" t="e">
        <f t="shared" si="120"/>
        <v>#REF!</v>
      </c>
      <c r="X237" s="12" t="e">
        <f t="shared" si="121"/>
        <v>#REF!</v>
      </c>
      <c r="Y237" s="12" t="e">
        <f t="shared" si="122"/>
        <v>#REF!</v>
      </c>
      <c r="Z237" s="12" t="e">
        <f t="shared" si="123"/>
        <v>#REF!</v>
      </c>
      <c r="AA237" s="12" t="e">
        <f t="shared" si="124"/>
        <v>#REF!</v>
      </c>
    </row>
    <row r="238" spans="1:27" s="3" customFormat="1" x14ac:dyDescent="0.2">
      <c r="A238" s="4"/>
      <c r="B238" s="9">
        <v>24</v>
      </c>
      <c r="C238" s="9" t="s">
        <v>37</v>
      </c>
      <c r="D238" s="10" t="s">
        <v>14</v>
      </c>
      <c r="E238" s="19" t="s">
        <v>12</v>
      </c>
      <c r="F238" s="10" t="str">
        <f t="shared" si="71"/>
        <v>24HPPREMIUM</v>
      </c>
      <c r="G238" s="12">
        <v>24.539849999999998</v>
      </c>
      <c r="H238" s="12">
        <v>24.539849999999998</v>
      </c>
      <c r="I238" s="12">
        <v>24.539849999999998</v>
      </c>
      <c r="J238" s="12">
        <v>24.539849999999998</v>
      </c>
      <c r="K238" s="12">
        <v>24.539849999999998</v>
      </c>
      <c r="M238" s="12">
        <f t="shared" si="107"/>
        <v>11.51</v>
      </c>
      <c r="O238" s="12" t="e">
        <f>#REF!</f>
        <v>#REF!</v>
      </c>
      <c r="P238" s="22" t="e">
        <f t="shared" ref="P238:S238" si="159">O238</f>
        <v>#REF!</v>
      </c>
      <c r="Q238" s="22" t="e">
        <f t="shared" si="159"/>
        <v>#REF!</v>
      </c>
      <c r="R238" s="22" t="e">
        <f t="shared" si="159"/>
        <v>#REF!</v>
      </c>
      <c r="S238" s="22" t="e">
        <f t="shared" si="159"/>
        <v>#REF!</v>
      </c>
      <c r="U238" s="12" t="e">
        <f>#REF!</f>
        <v>#REF!</v>
      </c>
      <c r="W238" s="12" t="e">
        <f t="shared" si="120"/>
        <v>#REF!</v>
      </c>
      <c r="X238" s="12" t="e">
        <f t="shared" si="121"/>
        <v>#REF!</v>
      </c>
      <c r="Y238" s="12" t="e">
        <f t="shared" si="122"/>
        <v>#REF!</v>
      </c>
      <c r="Z238" s="12" t="e">
        <f t="shared" si="123"/>
        <v>#REF!</v>
      </c>
      <c r="AA238" s="12" t="e">
        <f t="shared" si="124"/>
        <v>#REF!</v>
      </c>
    </row>
    <row r="239" spans="1:27" s="3" customFormat="1" x14ac:dyDescent="0.2">
      <c r="A239" s="4"/>
      <c r="B239" s="9">
        <v>25</v>
      </c>
      <c r="C239" s="9" t="s">
        <v>37</v>
      </c>
      <c r="D239" s="10" t="s">
        <v>14</v>
      </c>
      <c r="E239" s="19" t="s">
        <v>12</v>
      </c>
      <c r="F239" s="10" t="str">
        <f t="shared" si="71"/>
        <v>25HPPREMIUM</v>
      </c>
      <c r="G239" s="12">
        <v>24.415649999999999</v>
      </c>
      <c r="H239" s="12">
        <v>24.415649999999999</v>
      </c>
      <c r="I239" s="12">
        <v>24.415649999999999</v>
      </c>
      <c r="J239" s="12">
        <v>24.415649999999999</v>
      </c>
      <c r="K239" s="12">
        <v>24.415649999999999</v>
      </c>
      <c r="M239" s="12">
        <f t="shared" si="107"/>
        <v>11.51</v>
      </c>
      <c r="O239" s="12" t="e">
        <f>#REF!</f>
        <v>#REF!</v>
      </c>
      <c r="P239" s="22" t="e">
        <f t="shared" ref="P239:S239" si="160">O239</f>
        <v>#REF!</v>
      </c>
      <c r="Q239" s="22" t="e">
        <f t="shared" si="160"/>
        <v>#REF!</v>
      </c>
      <c r="R239" s="22" t="e">
        <f t="shared" si="160"/>
        <v>#REF!</v>
      </c>
      <c r="S239" s="22" t="e">
        <f t="shared" si="160"/>
        <v>#REF!</v>
      </c>
      <c r="U239" s="12" t="e">
        <f>#REF!</f>
        <v>#REF!</v>
      </c>
      <c r="W239" s="12" t="e">
        <f t="shared" si="120"/>
        <v>#REF!</v>
      </c>
      <c r="X239" s="12" t="e">
        <f t="shared" si="121"/>
        <v>#REF!</v>
      </c>
      <c r="Y239" s="12" t="e">
        <f t="shared" si="122"/>
        <v>#REF!</v>
      </c>
      <c r="Z239" s="12" t="e">
        <f t="shared" si="123"/>
        <v>#REF!</v>
      </c>
      <c r="AA239" s="12" t="e">
        <f t="shared" si="124"/>
        <v>#REF!</v>
      </c>
    </row>
    <row r="240" spans="1:27" s="3" customFormat="1" x14ac:dyDescent="0.2">
      <c r="A240" s="4"/>
      <c r="B240" s="9">
        <v>26</v>
      </c>
      <c r="C240" s="9" t="s">
        <v>37</v>
      </c>
      <c r="D240" s="10" t="s">
        <v>14</v>
      </c>
      <c r="E240" s="19" t="s">
        <v>12</v>
      </c>
      <c r="F240" s="10" t="str">
        <f t="shared" si="71"/>
        <v>26HPPREMIUM</v>
      </c>
      <c r="G240" s="12">
        <v>26.09235</v>
      </c>
      <c r="H240" s="12">
        <v>26.09235</v>
      </c>
      <c r="I240" s="12">
        <v>26.09235</v>
      </c>
      <c r="J240" s="12">
        <v>26.09235</v>
      </c>
      <c r="K240" s="12">
        <v>26.09235</v>
      </c>
      <c r="M240" s="12">
        <f t="shared" si="107"/>
        <v>11.51</v>
      </c>
      <c r="O240" s="12" t="e">
        <f>#REF!</f>
        <v>#REF!</v>
      </c>
      <c r="P240" s="22" t="e">
        <f t="shared" ref="P240:S240" si="161">O240</f>
        <v>#REF!</v>
      </c>
      <c r="Q240" s="22" t="e">
        <f t="shared" si="161"/>
        <v>#REF!</v>
      </c>
      <c r="R240" s="22" t="e">
        <f t="shared" si="161"/>
        <v>#REF!</v>
      </c>
      <c r="S240" s="22" t="e">
        <f t="shared" si="161"/>
        <v>#REF!</v>
      </c>
      <c r="U240" s="12" t="e">
        <f>#REF!</f>
        <v>#REF!</v>
      </c>
      <c r="W240" s="12" t="e">
        <f t="shared" si="120"/>
        <v>#REF!</v>
      </c>
      <c r="X240" s="12" t="e">
        <f t="shared" si="121"/>
        <v>#REF!</v>
      </c>
      <c r="Y240" s="12" t="e">
        <f t="shared" si="122"/>
        <v>#REF!</v>
      </c>
      <c r="Z240" s="12" t="e">
        <f t="shared" si="123"/>
        <v>#REF!</v>
      </c>
      <c r="AA240" s="12" t="e">
        <f t="shared" si="124"/>
        <v>#REF!</v>
      </c>
    </row>
    <row r="241" spans="1:27" s="3" customFormat="1" x14ac:dyDescent="0.2">
      <c r="A241" s="4"/>
      <c r="B241" s="9">
        <v>27</v>
      </c>
      <c r="C241" s="9" t="s">
        <v>37</v>
      </c>
      <c r="D241" s="10" t="s">
        <v>14</v>
      </c>
      <c r="E241" s="19" t="s">
        <v>12</v>
      </c>
      <c r="F241" s="10" t="str">
        <f t="shared" si="71"/>
        <v>27HPPREMIUM</v>
      </c>
      <c r="G241" s="12">
        <v>96.047999999999988</v>
      </c>
      <c r="H241" s="12">
        <v>96.047999999999988</v>
      </c>
      <c r="I241" s="12">
        <v>96.047999999999988</v>
      </c>
      <c r="J241" s="12">
        <v>96.047999999999988</v>
      </c>
      <c r="K241" s="12">
        <v>96.047999999999988</v>
      </c>
      <c r="M241" s="12">
        <f t="shared" si="107"/>
        <v>11.51</v>
      </c>
      <c r="O241" s="12" t="e">
        <f>#REF!</f>
        <v>#REF!</v>
      </c>
      <c r="P241" s="22" t="e">
        <f t="shared" ref="P241:S241" si="162">O241</f>
        <v>#REF!</v>
      </c>
      <c r="Q241" s="22" t="e">
        <f t="shared" si="162"/>
        <v>#REF!</v>
      </c>
      <c r="R241" s="22" t="e">
        <f t="shared" si="162"/>
        <v>#REF!</v>
      </c>
      <c r="S241" s="22" t="e">
        <f t="shared" si="162"/>
        <v>#REF!</v>
      </c>
      <c r="U241" s="12" t="e">
        <f>#REF!</f>
        <v>#REF!</v>
      </c>
      <c r="W241" s="12" t="e">
        <f t="shared" si="120"/>
        <v>#REF!</v>
      </c>
      <c r="X241" s="12" t="e">
        <f t="shared" si="121"/>
        <v>#REF!</v>
      </c>
      <c r="Y241" s="12" t="e">
        <f t="shared" si="122"/>
        <v>#REF!</v>
      </c>
      <c r="Z241" s="12" t="e">
        <f t="shared" si="123"/>
        <v>#REF!</v>
      </c>
      <c r="AA241" s="12" t="e">
        <f t="shared" si="124"/>
        <v>#REF!</v>
      </c>
    </row>
    <row r="242" spans="1:27" s="3" customFormat="1" x14ac:dyDescent="0.2">
      <c r="A242" s="4"/>
      <c r="B242" s="9">
        <v>28</v>
      </c>
      <c r="C242" s="9" t="s">
        <v>37</v>
      </c>
      <c r="D242" s="10" t="s">
        <v>14</v>
      </c>
      <c r="E242" s="19" t="s">
        <v>12</v>
      </c>
      <c r="F242" s="10" t="str">
        <f t="shared" si="71"/>
        <v>28HPPREMIUM</v>
      </c>
      <c r="G242" s="12">
        <v>98.801099999999991</v>
      </c>
      <c r="H242" s="12">
        <v>98.801099999999991</v>
      </c>
      <c r="I242" s="12">
        <v>98.801099999999991</v>
      </c>
      <c r="J242" s="12">
        <v>98.801099999999991</v>
      </c>
      <c r="K242" s="12">
        <v>98.801099999999991</v>
      </c>
      <c r="M242" s="12">
        <f t="shared" si="107"/>
        <v>11.51</v>
      </c>
      <c r="O242" s="12" t="e">
        <f>#REF!</f>
        <v>#REF!</v>
      </c>
      <c r="P242" s="22" t="e">
        <f t="shared" ref="P242:S242" si="163">O242</f>
        <v>#REF!</v>
      </c>
      <c r="Q242" s="22" t="e">
        <f t="shared" si="163"/>
        <v>#REF!</v>
      </c>
      <c r="R242" s="22" t="e">
        <f t="shared" si="163"/>
        <v>#REF!</v>
      </c>
      <c r="S242" s="22" t="e">
        <f t="shared" si="163"/>
        <v>#REF!</v>
      </c>
      <c r="U242" s="12" t="e">
        <f>#REF!</f>
        <v>#REF!</v>
      </c>
      <c r="W242" s="12" t="e">
        <f t="shared" si="120"/>
        <v>#REF!</v>
      </c>
      <c r="X242" s="12" t="e">
        <f t="shared" si="121"/>
        <v>#REF!</v>
      </c>
      <c r="Y242" s="12" t="e">
        <f t="shared" si="122"/>
        <v>#REF!</v>
      </c>
      <c r="Z242" s="12" t="e">
        <f t="shared" si="123"/>
        <v>#REF!</v>
      </c>
      <c r="AA242" s="12" t="e">
        <f t="shared" si="124"/>
        <v>#REF!</v>
      </c>
    </row>
    <row r="243" spans="1:27" s="3" customFormat="1" x14ac:dyDescent="0.2">
      <c r="A243" s="4"/>
      <c r="B243" s="9">
        <v>31</v>
      </c>
      <c r="C243" s="9" t="s">
        <v>46</v>
      </c>
      <c r="D243" s="10" t="s">
        <v>14</v>
      </c>
      <c r="E243" s="19" t="s">
        <v>12</v>
      </c>
      <c r="F243" s="10" t="str">
        <f t="shared" si="71"/>
        <v>31HPPREMIUM</v>
      </c>
      <c r="G243" s="13">
        <v>14.376149999999999</v>
      </c>
      <c r="H243" s="13">
        <v>14.376149999999999</v>
      </c>
      <c r="I243" s="13">
        <v>14.376149999999999</v>
      </c>
      <c r="J243" s="13">
        <v>14.376149999999999</v>
      </c>
      <c r="K243" s="13">
        <v>14.376149999999999</v>
      </c>
      <c r="M243" s="13">
        <f t="shared" si="107"/>
        <v>10.81</v>
      </c>
      <c r="O243" s="13" t="e">
        <f>#REF!</f>
        <v>#REF!</v>
      </c>
      <c r="P243" s="22" t="e">
        <f t="shared" ref="P243:S243" si="164">O243</f>
        <v>#REF!</v>
      </c>
      <c r="Q243" s="22" t="e">
        <f t="shared" si="164"/>
        <v>#REF!</v>
      </c>
      <c r="R243" s="22" t="e">
        <f t="shared" si="164"/>
        <v>#REF!</v>
      </c>
      <c r="S243" s="22" t="e">
        <f t="shared" si="164"/>
        <v>#REF!</v>
      </c>
      <c r="U243" s="13" t="e">
        <f>#REF!</f>
        <v>#REF!</v>
      </c>
      <c r="W243" s="13" t="e">
        <f t="shared" si="120"/>
        <v>#REF!</v>
      </c>
      <c r="X243" s="13" t="e">
        <f t="shared" si="121"/>
        <v>#REF!</v>
      </c>
      <c r="Y243" s="13" t="e">
        <f t="shared" si="122"/>
        <v>#REF!</v>
      </c>
      <c r="Z243" s="13" t="e">
        <f t="shared" si="123"/>
        <v>#REF!</v>
      </c>
      <c r="AA243" s="13" t="e">
        <f t="shared" si="124"/>
        <v>#REF!</v>
      </c>
    </row>
    <row r="244" spans="1:27" s="3" customFormat="1" x14ac:dyDescent="0.2">
      <c r="A244" s="4"/>
      <c r="B244" s="9">
        <v>32</v>
      </c>
      <c r="C244" s="9" t="s">
        <v>46</v>
      </c>
      <c r="D244" s="10" t="s">
        <v>14</v>
      </c>
      <c r="E244" s="19" t="s">
        <v>12</v>
      </c>
      <c r="F244" s="10" t="str">
        <f t="shared" si="71"/>
        <v>32HPPREMIUM</v>
      </c>
      <c r="G244" s="13">
        <v>19.344149999999999</v>
      </c>
      <c r="H244" s="13">
        <v>19.344149999999999</v>
      </c>
      <c r="I244" s="13">
        <v>19.344149999999999</v>
      </c>
      <c r="J244" s="13">
        <v>19.344149999999999</v>
      </c>
      <c r="K244" s="13">
        <v>19.344149999999999</v>
      </c>
      <c r="M244" s="13">
        <f t="shared" si="107"/>
        <v>10.81</v>
      </c>
      <c r="O244" s="13" t="e">
        <f>#REF!</f>
        <v>#REF!</v>
      </c>
      <c r="P244" s="22" t="e">
        <f t="shared" ref="P244:S244" si="165">O244</f>
        <v>#REF!</v>
      </c>
      <c r="Q244" s="22" t="e">
        <f t="shared" si="165"/>
        <v>#REF!</v>
      </c>
      <c r="R244" s="22" t="e">
        <f t="shared" si="165"/>
        <v>#REF!</v>
      </c>
      <c r="S244" s="22" t="e">
        <f t="shared" si="165"/>
        <v>#REF!</v>
      </c>
      <c r="U244" s="13" t="e">
        <f>#REF!</f>
        <v>#REF!</v>
      </c>
      <c r="W244" s="13" t="e">
        <f t="shared" si="120"/>
        <v>#REF!</v>
      </c>
      <c r="X244" s="13" t="e">
        <f t="shared" si="121"/>
        <v>#REF!</v>
      </c>
      <c r="Y244" s="13" t="e">
        <f t="shared" si="122"/>
        <v>#REF!</v>
      </c>
      <c r="Z244" s="13" t="e">
        <f t="shared" si="123"/>
        <v>#REF!</v>
      </c>
      <c r="AA244" s="13" t="e">
        <f t="shared" si="124"/>
        <v>#REF!</v>
      </c>
    </row>
    <row r="245" spans="1:27" s="3" customFormat="1" x14ac:dyDescent="0.2">
      <c r="A245" s="4"/>
      <c r="B245" s="9">
        <v>33</v>
      </c>
      <c r="C245" s="9" t="s">
        <v>46</v>
      </c>
      <c r="D245" s="10" t="s">
        <v>14</v>
      </c>
      <c r="E245" s="19" t="s">
        <v>12</v>
      </c>
      <c r="F245" s="10" t="str">
        <f t="shared" si="71"/>
        <v>33HPPREMIUM</v>
      </c>
      <c r="G245" s="13">
        <v>21.383099999999999</v>
      </c>
      <c r="H245" s="13">
        <v>21.383099999999999</v>
      </c>
      <c r="I245" s="13">
        <v>21.383099999999999</v>
      </c>
      <c r="J245" s="13">
        <v>21.383099999999999</v>
      </c>
      <c r="K245" s="13">
        <v>21.383099999999999</v>
      </c>
      <c r="M245" s="13">
        <f t="shared" si="107"/>
        <v>10.81</v>
      </c>
      <c r="O245" s="13" t="e">
        <f>#REF!</f>
        <v>#REF!</v>
      </c>
      <c r="P245" s="22" t="e">
        <f t="shared" ref="P245:S245" si="166">O245</f>
        <v>#REF!</v>
      </c>
      <c r="Q245" s="22" t="e">
        <f t="shared" si="166"/>
        <v>#REF!</v>
      </c>
      <c r="R245" s="22" t="e">
        <f t="shared" si="166"/>
        <v>#REF!</v>
      </c>
      <c r="S245" s="22" t="e">
        <f t="shared" si="166"/>
        <v>#REF!</v>
      </c>
      <c r="U245" s="13" t="e">
        <f>#REF!</f>
        <v>#REF!</v>
      </c>
      <c r="W245" s="13" t="e">
        <f t="shared" si="120"/>
        <v>#REF!</v>
      </c>
      <c r="X245" s="13" t="e">
        <f t="shared" si="121"/>
        <v>#REF!</v>
      </c>
      <c r="Y245" s="13" t="e">
        <f t="shared" si="122"/>
        <v>#REF!</v>
      </c>
      <c r="Z245" s="13" t="e">
        <f t="shared" si="123"/>
        <v>#REF!</v>
      </c>
      <c r="AA245" s="13" t="e">
        <f t="shared" si="124"/>
        <v>#REF!</v>
      </c>
    </row>
    <row r="246" spans="1:27" s="3" customFormat="1" x14ac:dyDescent="0.2">
      <c r="A246" s="4"/>
      <c r="B246" s="9">
        <v>34</v>
      </c>
      <c r="C246" s="9" t="s">
        <v>46</v>
      </c>
      <c r="D246" s="10" t="s">
        <v>14</v>
      </c>
      <c r="E246" s="19" t="s">
        <v>12</v>
      </c>
      <c r="F246" s="10" t="str">
        <f t="shared" si="71"/>
        <v>34HPPREMIUM</v>
      </c>
      <c r="G246" s="13">
        <v>23.432399999999998</v>
      </c>
      <c r="H246" s="13">
        <v>23.432399999999998</v>
      </c>
      <c r="I246" s="13">
        <v>23.432399999999998</v>
      </c>
      <c r="J246" s="13">
        <v>23.432399999999998</v>
      </c>
      <c r="K246" s="13">
        <v>23.432399999999998</v>
      </c>
      <c r="M246" s="13">
        <f t="shared" si="107"/>
        <v>10.81</v>
      </c>
      <c r="O246" s="13" t="e">
        <f>#REF!</f>
        <v>#REF!</v>
      </c>
      <c r="P246" s="22" t="e">
        <f t="shared" ref="P246:S246" si="167">O246</f>
        <v>#REF!</v>
      </c>
      <c r="Q246" s="22" t="e">
        <f t="shared" si="167"/>
        <v>#REF!</v>
      </c>
      <c r="R246" s="22" t="e">
        <f t="shared" si="167"/>
        <v>#REF!</v>
      </c>
      <c r="S246" s="22" t="e">
        <f t="shared" si="167"/>
        <v>#REF!</v>
      </c>
      <c r="U246" s="13" t="e">
        <f>#REF!</f>
        <v>#REF!</v>
      </c>
      <c r="W246" s="13" t="e">
        <f t="shared" si="120"/>
        <v>#REF!</v>
      </c>
      <c r="X246" s="13" t="e">
        <f t="shared" si="121"/>
        <v>#REF!</v>
      </c>
      <c r="Y246" s="13" t="e">
        <f t="shared" si="122"/>
        <v>#REF!</v>
      </c>
      <c r="Z246" s="13" t="e">
        <f t="shared" si="123"/>
        <v>#REF!</v>
      </c>
      <c r="AA246" s="13" t="e">
        <f t="shared" si="124"/>
        <v>#REF!</v>
      </c>
    </row>
    <row r="247" spans="1:27" s="3" customFormat="1" x14ac:dyDescent="0.2">
      <c r="A247" s="4"/>
      <c r="B247" s="9">
        <v>35</v>
      </c>
      <c r="C247" s="9" t="s">
        <v>46</v>
      </c>
      <c r="D247" s="10" t="s">
        <v>14</v>
      </c>
      <c r="E247" s="19" t="s">
        <v>12</v>
      </c>
      <c r="F247" s="10" t="str">
        <f t="shared" si="71"/>
        <v>35HPPREMIUM</v>
      </c>
      <c r="G247" s="13">
        <v>25.781849999999999</v>
      </c>
      <c r="H247" s="13">
        <v>25.781849999999999</v>
      </c>
      <c r="I247" s="13">
        <v>25.781849999999999</v>
      </c>
      <c r="J247" s="13">
        <v>25.781849999999999</v>
      </c>
      <c r="K247" s="13">
        <v>25.781849999999999</v>
      </c>
      <c r="M247" s="13">
        <f t="shared" si="107"/>
        <v>10.81</v>
      </c>
      <c r="O247" s="13" t="e">
        <f>#REF!</f>
        <v>#REF!</v>
      </c>
      <c r="P247" s="22" t="e">
        <f t="shared" ref="P247:S247" si="168">O247</f>
        <v>#REF!</v>
      </c>
      <c r="Q247" s="22" t="e">
        <f t="shared" si="168"/>
        <v>#REF!</v>
      </c>
      <c r="R247" s="22" t="e">
        <f t="shared" si="168"/>
        <v>#REF!</v>
      </c>
      <c r="S247" s="22" t="e">
        <f t="shared" si="168"/>
        <v>#REF!</v>
      </c>
      <c r="U247" s="13" t="e">
        <f>#REF!</f>
        <v>#REF!</v>
      </c>
      <c r="W247" s="13" t="e">
        <f t="shared" si="120"/>
        <v>#REF!</v>
      </c>
      <c r="X247" s="13" t="e">
        <f t="shared" si="121"/>
        <v>#REF!</v>
      </c>
      <c r="Y247" s="13" t="e">
        <f t="shared" si="122"/>
        <v>#REF!</v>
      </c>
      <c r="Z247" s="13" t="e">
        <f t="shared" si="123"/>
        <v>#REF!</v>
      </c>
      <c r="AA247" s="13" t="e">
        <f t="shared" si="124"/>
        <v>#REF!</v>
      </c>
    </row>
    <row r="248" spans="1:27" s="3" customFormat="1" x14ac:dyDescent="0.2">
      <c r="A248" s="4"/>
      <c r="B248" s="9">
        <v>41</v>
      </c>
      <c r="C248" s="9" t="s">
        <v>38</v>
      </c>
      <c r="D248" s="10" t="s">
        <v>14</v>
      </c>
      <c r="E248" s="19" t="s">
        <v>12</v>
      </c>
      <c r="F248" s="10" t="str">
        <f t="shared" si="71"/>
        <v>41HPPREMIUM</v>
      </c>
      <c r="G248" s="14">
        <v>13.95</v>
      </c>
      <c r="H248" s="14">
        <v>13.95</v>
      </c>
      <c r="I248" s="14">
        <v>13.95</v>
      </c>
      <c r="J248" s="14">
        <v>13.95</v>
      </c>
      <c r="K248" s="14">
        <v>13.95</v>
      </c>
      <c r="M248" s="14">
        <f t="shared" si="107"/>
        <v>9.76</v>
      </c>
      <c r="O248" s="14" t="e">
        <f>#REF!</f>
        <v>#REF!</v>
      </c>
      <c r="P248" s="22" t="e">
        <f t="shared" ref="P248:S248" si="169">O248</f>
        <v>#REF!</v>
      </c>
      <c r="Q248" s="22" t="e">
        <f t="shared" si="169"/>
        <v>#REF!</v>
      </c>
      <c r="R248" s="22" t="e">
        <f t="shared" si="169"/>
        <v>#REF!</v>
      </c>
      <c r="S248" s="22" t="e">
        <f t="shared" si="169"/>
        <v>#REF!</v>
      </c>
      <c r="U248" s="14" t="e">
        <f>#REF!</f>
        <v>#REF!</v>
      </c>
      <c r="W248" s="14" t="e">
        <f t="shared" si="120"/>
        <v>#REF!</v>
      </c>
      <c r="X248" s="14" t="e">
        <f t="shared" si="121"/>
        <v>#REF!</v>
      </c>
      <c r="Y248" s="14" t="e">
        <f t="shared" si="122"/>
        <v>#REF!</v>
      </c>
      <c r="Z248" s="14" t="e">
        <f t="shared" si="123"/>
        <v>#REF!</v>
      </c>
      <c r="AA248" s="14" t="e">
        <f t="shared" si="124"/>
        <v>#REF!</v>
      </c>
    </row>
    <row r="249" spans="1:27" s="3" customFormat="1" x14ac:dyDescent="0.2">
      <c r="A249" s="4"/>
      <c r="B249" s="9">
        <v>42</v>
      </c>
      <c r="C249" s="9" t="s">
        <v>38</v>
      </c>
      <c r="D249" s="10" t="s">
        <v>14</v>
      </c>
      <c r="E249" s="19" t="s">
        <v>12</v>
      </c>
      <c r="F249" s="10" t="str">
        <f t="shared" si="71"/>
        <v>42HPPREMIUM</v>
      </c>
      <c r="G249" s="14">
        <v>16.55</v>
      </c>
      <c r="H249" s="14">
        <v>16.55</v>
      </c>
      <c r="I249" s="14">
        <v>16.55</v>
      </c>
      <c r="J249" s="14">
        <v>16.55</v>
      </c>
      <c r="K249" s="14">
        <v>16.55</v>
      </c>
      <c r="M249" s="14">
        <f t="shared" si="107"/>
        <v>9.76</v>
      </c>
      <c r="O249" s="14" t="e">
        <f>#REF!</f>
        <v>#REF!</v>
      </c>
      <c r="P249" s="22" t="e">
        <f t="shared" ref="P249:S249" si="170">O249</f>
        <v>#REF!</v>
      </c>
      <c r="Q249" s="22" t="e">
        <f t="shared" si="170"/>
        <v>#REF!</v>
      </c>
      <c r="R249" s="22" t="e">
        <f t="shared" si="170"/>
        <v>#REF!</v>
      </c>
      <c r="S249" s="22" t="e">
        <f t="shared" si="170"/>
        <v>#REF!</v>
      </c>
      <c r="U249" s="14" t="e">
        <f>#REF!</f>
        <v>#REF!</v>
      </c>
      <c r="W249" s="14" t="e">
        <f t="shared" si="120"/>
        <v>#REF!</v>
      </c>
      <c r="X249" s="14" t="e">
        <f t="shared" si="121"/>
        <v>#REF!</v>
      </c>
      <c r="Y249" s="14" t="e">
        <f t="shared" si="122"/>
        <v>#REF!</v>
      </c>
      <c r="Z249" s="14" t="e">
        <f t="shared" si="123"/>
        <v>#REF!</v>
      </c>
      <c r="AA249" s="14" t="e">
        <f t="shared" si="124"/>
        <v>#REF!</v>
      </c>
    </row>
    <row r="250" spans="1:27" s="3" customFormat="1" x14ac:dyDescent="0.2">
      <c r="A250" s="4"/>
      <c r="B250" s="9">
        <v>43</v>
      </c>
      <c r="C250" s="9" t="s">
        <v>38</v>
      </c>
      <c r="D250" s="10" t="s">
        <v>14</v>
      </c>
      <c r="E250" s="19" t="s">
        <v>12</v>
      </c>
      <c r="F250" s="10" t="str">
        <f t="shared" si="71"/>
        <v>43HPPREMIUM</v>
      </c>
      <c r="G250" s="14">
        <v>18.95</v>
      </c>
      <c r="H250" s="14">
        <v>18.95</v>
      </c>
      <c r="I250" s="14">
        <v>18.95</v>
      </c>
      <c r="J250" s="14">
        <v>18.95</v>
      </c>
      <c r="K250" s="14">
        <v>18.95</v>
      </c>
      <c r="M250" s="14">
        <f t="shared" si="107"/>
        <v>9.76</v>
      </c>
      <c r="O250" s="14" t="e">
        <f>#REF!</f>
        <v>#REF!</v>
      </c>
      <c r="P250" s="22" t="e">
        <f t="shared" ref="P250:S250" si="171">O250</f>
        <v>#REF!</v>
      </c>
      <c r="Q250" s="22" t="e">
        <f t="shared" si="171"/>
        <v>#REF!</v>
      </c>
      <c r="R250" s="22" t="e">
        <f t="shared" si="171"/>
        <v>#REF!</v>
      </c>
      <c r="S250" s="22" t="e">
        <f t="shared" si="171"/>
        <v>#REF!</v>
      </c>
      <c r="U250" s="14" t="e">
        <f>#REF!</f>
        <v>#REF!</v>
      </c>
      <c r="W250" s="14" t="e">
        <f t="shared" si="120"/>
        <v>#REF!</v>
      </c>
      <c r="X250" s="14" t="e">
        <f t="shared" si="121"/>
        <v>#REF!</v>
      </c>
      <c r="Y250" s="14" t="e">
        <f t="shared" si="122"/>
        <v>#REF!</v>
      </c>
      <c r="Z250" s="14" t="e">
        <f t="shared" si="123"/>
        <v>#REF!</v>
      </c>
      <c r="AA250" s="14" t="e">
        <f t="shared" si="124"/>
        <v>#REF!</v>
      </c>
    </row>
    <row r="251" spans="1:27" s="3" customFormat="1" x14ac:dyDescent="0.2">
      <c r="A251" s="4"/>
      <c r="B251" s="9">
        <v>44</v>
      </c>
      <c r="C251" s="9" t="s">
        <v>38</v>
      </c>
      <c r="D251" s="10" t="s">
        <v>14</v>
      </c>
      <c r="E251" s="19" t="s">
        <v>12</v>
      </c>
      <c r="F251" s="10" t="str">
        <f t="shared" si="71"/>
        <v>44HPPREMIUM</v>
      </c>
      <c r="G251" s="14">
        <v>75.7</v>
      </c>
      <c r="H251" s="14">
        <v>75.7</v>
      </c>
      <c r="I251" s="14">
        <v>75.7</v>
      </c>
      <c r="J251" s="14">
        <v>75.7</v>
      </c>
      <c r="K251" s="14">
        <v>75.7</v>
      </c>
      <c r="M251" s="14">
        <f t="shared" si="107"/>
        <v>9.76</v>
      </c>
      <c r="O251" s="14" t="e">
        <f>#REF!</f>
        <v>#REF!</v>
      </c>
      <c r="P251" s="22" t="e">
        <f t="shared" ref="P251:S251" si="172">O251</f>
        <v>#REF!</v>
      </c>
      <c r="Q251" s="22" t="e">
        <f t="shared" si="172"/>
        <v>#REF!</v>
      </c>
      <c r="R251" s="22" t="e">
        <f t="shared" si="172"/>
        <v>#REF!</v>
      </c>
      <c r="S251" s="22" t="e">
        <f t="shared" si="172"/>
        <v>#REF!</v>
      </c>
      <c r="U251" s="14" t="e">
        <f>#REF!</f>
        <v>#REF!</v>
      </c>
      <c r="W251" s="14" t="e">
        <f t="shared" si="120"/>
        <v>#REF!</v>
      </c>
      <c r="X251" s="14" t="e">
        <f t="shared" si="121"/>
        <v>#REF!</v>
      </c>
      <c r="Y251" s="14" t="e">
        <f t="shared" si="122"/>
        <v>#REF!</v>
      </c>
      <c r="Z251" s="14" t="e">
        <f t="shared" si="123"/>
        <v>#REF!</v>
      </c>
      <c r="AA251" s="14" t="e">
        <f t="shared" si="124"/>
        <v>#REF!</v>
      </c>
    </row>
    <row r="252" spans="1:27" s="3" customFormat="1" x14ac:dyDescent="0.2">
      <c r="A252" s="4"/>
      <c r="B252" s="9">
        <v>45</v>
      </c>
      <c r="C252" s="9" t="s">
        <v>38</v>
      </c>
      <c r="D252" s="10" t="s">
        <v>14</v>
      </c>
      <c r="E252" s="19" t="s">
        <v>12</v>
      </c>
      <c r="F252" s="10" t="str">
        <f t="shared" si="71"/>
        <v>45HPPREMIUM</v>
      </c>
      <c r="G252" s="14">
        <v>78.25</v>
      </c>
      <c r="H252" s="14">
        <v>78.25</v>
      </c>
      <c r="I252" s="14">
        <v>78.25</v>
      </c>
      <c r="J252" s="14">
        <v>78.25</v>
      </c>
      <c r="K252" s="14">
        <v>78.25</v>
      </c>
      <c r="M252" s="14">
        <f t="shared" si="107"/>
        <v>9.76</v>
      </c>
      <c r="O252" s="14" t="e">
        <f>#REF!</f>
        <v>#REF!</v>
      </c>
      <c r="P252" s="22" t="e">
        <f t="shared" ref="P252:S252" si="173">O252</f>
        <v>#REF!</v>
      </c>
      <c r="Q252" s="22" t="e">
        <f t="shared" si="173"/>
        <v>#REF!</v>
      </c>
      <c r="R252" s="22" t="e">
        <f t="shared" si="173"/>
        <v>#REF!</v>
      </c>
      <c r="S252" s="22" t="e">
        <f t="shared" si="173"/>
        <v>#REF!</v>
      </c>
      <c r="U252" s="14" t="e">
        <f>#REF!</f>
        <v>#REF!</v>
      </c>
      <c r="W252" s="14" t="e">
        <f t="shared" si="120"/>
        <v>#REF!</v>
      </c>
      <c r="X252" s="14" t="e">
        <f t="shared" si="121"/>
        <v>#REF!</v>
      </c>
      <c r="Y252" s="14" t="e">
        <f t="shared" si="122"/>
        <v>#REF!</v>
      </c>
      <c r="Z252" s="14" t="e">
        <f t="shared" si="123"/>
        <v>#REF!</v>
      </c>
      <c r="AA252" s="14" t="e">
        <f t="shared" si="124"/>
        <v>#REF!</v>
      </c>
    </row>
    <row r="253" spans="1:27" x14ac:dyDescent="0.2">
      <c r="B253" s="9">
        <v>51</v>
      </c>
      <c r="C253" s="9" t="s">
        <v>39</v>
      </c>
      <c r="D253" s="10" t="s">
        <v>14</v>
      </c>
      <c r="E253" s="19" t="s">
        <v>12</v>
      </c>
      <c r="F253" s="10" t="str">
        <f t="shared" si="71"/>
        <v>51HPPREMIUM</v>
      </c>
      <c r="G253" s="18">
        <v>13.95</v>
      </c>
      <c r="H253" s="18">
        <v>13.95</v>
      </c>
      <c r="I253" s="18">
        <v>13.95</v>
      </c>
      <c r="J253" s="18">
        <v>13.95</v>
      </c>
      <c r="K253" s="18">
        <v>13.95</v>
      </c>
      <c r="M253" s="18">
        <f t="shared" si="107"/>
        <v>9.76</v>
      </c>
      <c r="O253" s="18" t="e">
        <f>#REF!</f>
        <v>#REF!</v>
      </c>
      <c r="P253" s="22" t="e">
        <f t="shared" ref="P253:S253" si="174">O253</f>
        <v>#REF!</v>
      </c>
      <c r="Q253" s="22" t="e">
        <f t="shared" si="174"/>
        <v>#REF!</v>
      </c>
      <c r="R253" s="22" t="e">
        <f t="shared" si="174"/>
        <v>#REF!</v>
      </c>
      <c r="S253" s="22" t="e">
        <f t="shared" si="174"/>
        <v>#REF!</v>
      </c>
      <c r="U253" s="18" t="e">
        <f>#REF!</f>
        <v>#REF!</v>
      </c>
      <c r="W253" s="18" t="e">
        <f t="shared" si="120"/>
        <v>#REF!</v>
      </c>
      <c r="X253" s="18" t="e">
        <f t="shared" si="121"/>
        <v>#REF!</v>
      </c>
      <c r="Y253" s="18" t="e">
        <f t="shared" si="122"/>
        <v>#REF!</v>
      </c>
      <c r="Z253" s="18" t="e">
        <f t="shared" si="123"/>
        <v>#REF!</v>
      </c>
      <c r="AA253" s="18" t="e">
        <f t="shared" si="124"/>
        <v>#REF!</v>
      </c>
    </row>
    <row r="254" spans="1:27" x14ac:dyDescent="0.2">
      <c r="B254" s="9">
        <v>52</v>
      </c>
      <c r="C254" s="9" t="s">
        <v>39</v>
      </c>
      <c r="D254" s="10" t="s">
        <v>14</v>
      </c>
      <c r="E254" s="19" t="s">
        <v>12</v>
      </c>
      <c r="F254" s="10" t="str">
        <f t="shared" si="71"/>
        <v>52HPPREMIUM</v>
      </c>
      <c r="G254" s="18">
        <v>16.55</v>
      </c>
      <c r="H254" s="18">
        <v>16.55</v>
      </c>
      <c r="I254" s="18">
        <v>16.55</v>
      </c>
      <c r="J254" s="18">
        <v>16.55</v>
      </c>
      <c r="K254" s="18">
        <v>16.55</v>
      </c>
      <c r="M254" s="18">
        <f t="shared" si="107"/>
        <v>9.76</v>
      </c>
      <c r="O254" s="18" t="e">
        <f>#REF!</f>
        <v>#REF!</v>
      </c>
      <c r="P254" s="22" t="e">
        <f t="shared" ref="P254:S254" si="175">O254</f>
        <v>#REF!</v>
      </c>
      <c r="Q254" s="22" t="e">
        <f t="shared" si="175"/>
        <v>#REF!</v>
      </c>
      <c r="R254" s="22" t="e">
        <f t="shared" si="175"/>
        <v>#REF!</v>
      </c>
      <c r="S254" s="22" t="e">
        <f t="shared" si="175"/>
        <v>#REF!</v>
      </c>
      <c r="U254" s="18" t="e">
        <f>#REF!</f>
        <v>#REF!</v>
      </c>
      <c r="W254" s="18" t="e">
        <f t="shared" si="120"/>
        <v>#REF!</v>
      </c>
      <c r="X254" s="18" t="e">
        <f t="shared" si="121"/>
        <v>#REF!</v>
      </c>
      <c r="Y254" s="18" t="e">
        <f t="shared" si="122"/>
        <v>#REF!</v>
      </c>
      <c r="Z254" s="18" t="e">
        <f t="shared" si="123"/>
        <v>#REF!</v>
      </c>
      <c r="AA254" s="18" t="e">
        <f t="shared" si="124"/>
        <v>#REF!</v>
      </c>
    </row>
    <row r="255" spans="1:27" x14ac:dyDescent="0.2">
      <c r="B255" s="9">
        <v>53</v>
      </c>
      <c r="C255" s="9" t="s">
        <v>39</v>
      </c>
      <c r="D255" s="10" t="s">
        <v>14</v>
      </c>
      <c r="E255" s="19" t="s">
        <v>12</v>
      </c>
      <c r="F255" s="10" t="str">
        <f t="shared" si="71"/>
        <v>53HPPREMIUM</v>
      </c>
      <c r="G255" s="18">
        <v>18.95</v>
      </c>
      <c r="H255" s="18">
        <v>18.95</v>
      </c>
      <c r="I255" s="18">
        <v>18.95</v>
      </c>
      <c r="J255" s="18">
        <v>18.95</v>
      </c>
      <c r="K255" s="18">
        <v>18.95</v>
      </c>
      <c r="M255" s="18">
        <f t="shared" si="107"/>
        <v>9.76</v>
      </c>
      <c r="O255" s="18" t="e">
        <f>#REF!</f>
        <v>#REF!</v>
      </c>
      <c r="P255" s="22" t="e">
        <f t="shared" ref="P255:S255" si="176">O255</f>
        <v>#REF!</v>
      </c>
      <c r="Q255" s="22" t="e">
        <f t="shared" si="176"/>
        <v>#REF!</v>
      </c>
      <c r="R255" s="22" t="e">
        <f t="shared" si="176"/>
        <v>#REF!</v>
      </c>
      <c r="S255" s="22" t="e">
        <f t="shared" si="176"/>
        <v>#REF!</v>
      </c>
      <c r="U255" s="18" t="e">
        <f>#REF!</f>
        <v>#REF!</v>
      </c>
      <c r="W255" s="18" t="e">
        <f t="shared" si="120"/>
        <v>#REF!</v>
      </c>
      <c r="X255" s="18" t="e">
        <f t="shared" si="121"/>
        <v>#REF!</v>
      </c>
      <c r="Y255" s="18" t="e">
        <f t="shared" si="122"/>
        <v>#REF!</v>
      </c>
      <c r="Z255" s="18" t="e">
        <f t="shared" si="123"/>
        <v>#REF!</v>
      </c>
      <c r="AA255" s="18" t="e">
        <f t="shared" si="124"/>
        <v>#REF!</v>
      </c>
    </row>
    <row r="256" spans="1:27" x14ac:dyDescent="0.2">
      <c r="B256" s="9">
        <v>54</v>
      </c>
      <c r="C256" s="9" t="s">
        <v>39</v>
      </c>
      <c r="D256" s="10" t="s">
        <v>14</v>
      </c>
      <c r="E256" s="19" t="s">
        <v>12</v>
      </c>
      <c r="F256" s="10" t="str">
        <f t="shared" si="71"/>
        <v>54HPPREMIUM</v>
      </c>
      <c r="G256" s="18">
        <v>19.7</v>
      </c>
      <c r="H256" s="18">
        <v>19.7</v>
      </c>
      <c r="I256" s="18">
        <v>19.7</v>
      </c>
      <c r="J256" s="18">
        <v>19.7</v>
      </c>
      <c r="K256" s="18">
        <v>19.7</v>
      </c>
      <c r="M256" s="18">
        <f t="shared" si="107"/>
        <v>9.76</v>
      </c>
      <c r="O256" s="18" t="e">
        <f>#REF!</f>
        <v>#REF!</v>
      </c>
      <c r="P256" s="22" t="e">
        <f t="shared" ref="P256:S256" si="177">O256</f>
        <v>#REF!</v>
      </c>
      <c r="Q256" s="22" t="e">
        <f t="shared" si="177"/>
        <v>#REF!</v>
      </c>
      <c r="R256" s="22" t="e">
        <f t="shared" si="177"/>
        <v>#REF!</v>
      </c>
      <c r="S256" s="22" t="e">
        <f t="shared" si="177"/>
        <v>#REF!</v>
      </c>
      <c r="U256" s="18" t="e">
        <f>#REF!</f>
        <v>#REF!</v>
      </c>
      <c r="W256" s="18" t="e">
        <f t="shared" si="120"/>
        <v>#REF!</v>
      </c>
      <c r="X256" s="18" t="e">
        <f t="shared" si="121"/>
        <v>#REF!</v>
      </c>
      <c r="Y256" s="18" t="e">
        <f t="shared" si="122"/>
        <v>#REF!</v>
      </c>
      <c r="Z256" s="18" t="e">
        <f t="shared" si="123"/>
        <v>#REF!</v>
      </c>
      <c r="AA256" s="18" t="e">
        <f t="shared" si="124"/>
        <v>#REF!</v>
      </c>
    </row>
    <row r="257" spans="1:27" s="3" customFormat="1" x14ac:dyDescent="0.2">
      <c r="A257" s="4"/>
      <c r="B257" s="9">
        <v>1</v>
      </c>
      <c r="C257" s="9" t="s">
        <v>36</v>
      </c>
      <c r="D257" s="10" t="s">
        <v>14</v>
      </c>
      <c r="E257" s="20" t="s">
        <v>18</v>
      </c>
      <c r="F257" s="10" t="str">
        <f t="shared" si="71"/>
        <v>1HPECONOMY</v>
      </c>
      <c r="G257" s="11">
        <v>17.712</v>
      </c>
      <c r="H257" s="11">
        <v>17.712</v>
      </c>
      <c r="I257" s="11">
        <v>17.712</v>
      </c>
      <c r="J257" s="11">
        <v>17.712</v>
      </c>
      <c r="K257" s="11">
        <v>17.712</v>
      </c>
      <c r="M257" s="11">
        <f t="shared" si="107"/>
        <v>11.61</v>
      </c>
      <c r="O257" s="11" t="e">
        <f>#REF!</f>
        <v>#REF!</v>
      </c>
      <c r="P257" s="22" t="e">
        <f t="shared" ref="P257:S257" si="178">O257</f>
        <v>#REF!</v>
      </c>
      <c r="Q257" s="22" t="e">
        <f t="shared" si="178"/>
        <v>#REF!</v>
      </c>
      <c r="R257" s="22" t="e">
        <f t="shared" si="178"/>
        <v>#REF!</v>
      </c>
      <c r="S257" s="22" t="e">
        <f t="shared" si="178"/>
        <v>#REF!</v>
      </c>
      <c r="U257" s="11" t="e">
        <f>#REF!</f>
        <v>#REF!</v>
      </c>
      <c r="W257" s="11" t="e">
        <f t="shared" si="120"/>
        <v>#REF!</v>
      </c>
      <c r="X257" s="11" t="e">
        <f t="shared" si="121"/>
        <v>#REF!</v>
      </c>
      <c r="Y257" s="11" t="e">
        <f t="shared" si="122"/>
        <v>#REF!</v>
      </c>
      <c r="Z257" s="11" t="e">
        <f t="shared" si="123"/>
        <v>#REF!</v>
      </c>
      <c r="AA257" s="11" t="e">
        <f t="shared" si="124"/>
        <v>#REF!</v>
      </c>
    </row>
    <row r="258" spans="1:27" s="3" customFormat="1" x14ac:dyDescent="0.2">
      <c r="A258" s="4"/>
      <c r="B258" s="9">
        <v>2</v>
      </c>
      <c r="C258" s="9" t="s">
        <v>36</v>
      </c>
      <c r="D258" s="10" t="s">
        <v>14</v>
      </c>
      <c r="E258" s="20" t="s">
        <v>18</v>
      </c>
      <c r="F258" s="10" t="str">
        <f t="shared" si="71"/>
        <v>2HPECONOMY</v>
      </c>
      <c r="G258" s="11">
        <v>19.444249999999997</v>
      </c>
      <c r="H258" s="11">
        <v>19.444249999999997</v>
      </c>
      <c r="I258" s="11">
        <v>19.444249999999997</v>
      </c>
      <c r="J258" s="11">
        <v>19.444249999999997</v>
      </c>
      <c r="K258" s="11">
        <v>19.444249999999997</v>
      </c>
      <c r="M258" s="11">
        <f t="shared" si="107"/>
        <v>11.61</v>
      </c>
      <c r="O258" s="11" t="e">
        <f>#REF!</f>
        <v>#REF!</v>
      </c>
      <c r="P258" s="22" t="e">
        <f t="shared" ref="P258:S258" si="179">O258</f>
        <v>#REF!</v>
      </c>
      <c r="Q258" s="22" t="e">
        <f t="shared" si="179"/>
        <v>#REF!</v>
      </c>
      <c r="R258" s="22" t="e">
        <f t="shared" si="179"/>
        <v>#REF!</v>
      </c>
      <c r="S258" s="22" t="e">
        <f t="shared" si="179"/>
        <v>#REF!</v>
      </c>
      <c r="U258" s="11" t="e">
        <f>#REF!</f>
        <v>#REF!</v>
      </c>
      <c r="W258" s="11" t="e">
        <f t="shared" si="120"/>
        <v>#REF!</v>
      </c>
      <c r="X258" s="11" t="e">
        <f t="shared" si="121"/>
        <v>#REF!</v>
      </c>
      <c r="Y258" s="11" t="e">
        <f t="shared" si="122"/>
        <v>#REF!</v>
      </c>
      <c r="Z258" s="11" t="e">
        <f t="shared" si="123"/>
        <v>#REF!</v>
      </c>
      <c r="AA258" s="11" t="e">
        <f t="shared" si="124"/>
        <v>#REF!</v>
      </c>
    </row>
    <row r="259" spans="1:27" s="3" customFormat="1" x14ac:dyDescent="0.2">
      <c r="A259" s="4"/>
      <c r="B259" s="9">
        <v>3</v>
      </c>
      <c r="C259" s="9" t="s">
        <v>36</v>
      </c>
      <c r="D259" s="10" t="s">
        <v>14</v>
      </c>
      <c r="E259" s="20" t="s">
        <v>18</v>
      </c>
      <c r="F259" s="10" t="str">
        <f t="shared" si="71"/>
        <v>3HPECONOMY</v>
      </c>
      <c r="G259" s="11">
        <v>21.811999999999998</v>
      </c>
      <c r="H259" s="11">
        <v>21.811999999999998</v>
      </c>
      <c r="I259" s="11">
        <v>21.811999999999998</v>
      </c>
      <c r="J259" s="11">
        <v>21.811999999999998</v>
      </c>
      <c r="K259" s="11">
        <v>21.811999999999998</v>
      </c>
      <c r="M259" s="11">
        <f t="shared" si="107"/>
        <v>11.61</v>
      </c>
      <c r="O259" s="11" t="e">
        <f>#REF!</f>
        <v>#REF!</v>
      </c>
      <c r="P259" s="22" t="e">
        <f t="shared" ref="P259:S259" si="180">O259</f>
        <v>#REF!</v>
      </c>
      <c r="Q259" s="22" t="e">
        <f t="shared" si="180"/>
        <v>#REF!</v>
      </c>
      <c r="R259" s="22" t="e">
        <f t="shared" si="180"/>
        <v>#REF!</v>
      </c>
      <c r="S259" s="22" t="e">
        <f t="shared" si="180"/>
        <v>#REF!</v>
      </c>
      <c r="U259" s="11" t="e">
        <f>#REF!</f>
        <v>#REF!</v>
      </c>
      <c r="W259" s="11" t="e">
        <f t="shared" si="120"/>
        <v>#REF!</v>
      </c>
      <c r="X259" s="11" t="e">
        <f t="shared" si="121"/>
        <v>#REF!</v>
      </c>
      <c r="Y259" s="11" t="e">
        <f t="shared" si="122"/>
        <v>#REF!</v>
      </c>
      <c r="Z259" s="11" t="e">
        <f t="shared" si="123"/>
        <v>#REF!</v>
      </c>
      <c r="AA259" s="11" t="e">
        <f t="shared" si="124"/>
        <v>#REF!</v>
      </c>
    </row>
    <row r="260" spans="1:27" s="3" customFormat="1" x14ac:dyDescent="0.2">
      <c r="A260" s="4"/>
      <c r="B260" s="9">
        <v>4</v>
      </c>
      <c r="C260" s="9" t="s">
        <v>36</v>
      </c>
      <c r="D260" s="10" t="s">
        <v>14</v>
      </c>
      <c r="E260" s="20" t="s">
        <v>18</v>
      </c>
      <c r="F260" s="10" t="str">
        <f t="shared" si="71"/>
        <v>4HPECONOMY</v>
      </c>
      <c r="G260" s="11">
        <v>22.970249999999997</v>
      </c>
      <c r="H260" s="11">
        <v>22.970249999999997</v>
      </c>
      <c r="I260" s="11">
        <v>22.970249999999997</v>
      </c>
      <c r="J260" s="11">
        <v>22.970249999999997</v>
      </c>
      <c r="K260" s="11">
        <v>22.970249999999997</v>
      </c>
      <c r="M260" s="11">
        <f t="shared" si="107"/>
        <v>11.61</v>
      </c>
      <c r="O260" s="11" t="e">
        <f>#REF!</f>
        <v>#REF!</v>
      </c>
      <c r="P260" s="22" t="e">
        <f t="shared" ref="P260:S260" si="181">O260</f>
        <v>#REF!</v>
      </c>
      <c r="Q260" s="22" t="e">
        <f t="shared" si="181"/>
        <v>#REF!</v>
      </c>
      <c r="R260" s="22" t="e">
        <f t="shared" si="181"/>
        <v>#REF!</v>
      </c>
      <c r="S260" s="22" t="e">
        <f t="shared" si="181"/>
        <v>#REF!</v>
      </c>
      <c r="U260" s="11" t="e">
        <f>#REF!</f>
        <v>#REF!</v>
      </c>
      <c r="W260" s="11" t="e">
        <f t="shared" si="120"/>
        <v>#REF!</v>
      </c>
      <c r="X260" s="11" t="e">
        <f t="shared" si="121"/>
        <v>#REF!</v>
      </c>
      <c r="Y260" s="11" t="e">
        <f t="shared" si="122"/>
        <v>#REF!</v>
      </c>
      <c r="Z260" s="11" t="e">
        <f t="shared" si="123"/>
        <v>#REF!</v>
      </c>
      <c r="AA260" s="11" t="e">
        <f t="shared" si="124"/>
        <v>#REF!</v>
      </c>
    </row>
    <row r="261" spans="1:27" s="3" customFormat="1" x14ac:dyDescent="0.2">
      <c r="A261" s="4"/>
      <c r="B261" s="9">
        <v>5</v>
      </c>
      <c r="C261" s="9" t="s">
        <v>36</v>
      </c>
      <c r="D261" s="10" t="s">
        <v>14</v>
      </c>
      <c r="E261" s="20" t="s">
        <v>18</v>
      </c>
      <c r="F261" s="10" t="str">
        <f t="shared" si="71"/>
        <v>5HPECONOMY</v>
      </c>
      <c r="G261" s="11">
        <v>25.16375</v>
      </c>
      <c r="H261" s="11">
        <v>25.16375</v>
      </c>
      <c r="I261" s="11">
        <v>25.16375</v>
      </c>
      <c r="J261" s="11">
        <v>25.16375</v>
      </c>
      <c r="K261" s="11">
        <v>25.16375</v>
      </c>
      <c r="M261" s="11">
        <f t="shared" si="107"/>
        <v>11.61</v>
      </c>
      <c r="O261" s="11" t="e">
        <f>#REF!</f>
        <v>#REF!</v>
      </c>
      <c r="P261" s="22" t="e">
        <f t="shared" ref="P261:S261" si="182">O261</f>
        <v>#REF!</v>
      </c>
      <c r="Q261" s="22" t="e">
        <f t="shared" si="182"/>
        <v>#REF!</v>
      </c>
      <c r="R261" s="22" t="e">
        <f t="shared" si="182"/>
        <v>#REF!</v>
      </c>
      <c r="S261" s="22" t="e">
        <f t="shared" si="182"/>
        <v>#REF!</v>
      </c>
      <c r="U261" s="11" t="e">
        <f>#REF!</f>
        <v>#REF!</v>
      </c>
      <c r="W261" s="11" t="e">
        <f t="shared" si="120"/>
        <v>#REF!</v>
      </c>
      <c r="X261" s="11" t="e">
        <f t="shared" si="121"/>
        <v>#REF!</v>
      </c>
      <c r="Y261" s="11" t="e">
        <f t="shared" si="122"/>
        <v>#REF!</v>
      </c>
      <c r="Z261" s="11" t="e">
        <f t="shared" si="123"/>
        <v>#REF!</v>
      </c>
      <c r="AA261" s="11" t="e">
        <f t="shared" si="124"/>
        <v>#REF!</v>
      </c>
    </row>
    <row r="262" spans="1:27" s="3" customFormat="1" x14ac:dyDescent="0.2">
      <c r="A262" s="4"/>
      <c r="B262" s="9">
        <v>6</v>
      </c>
      <c r="C262" s="9" t="s">
        <v>36</v>
      </c>
      <c r="D262" s="10" t="s">
        <v>14</v>
      </c>
      <c r="E262" s="20" t="s">
        <v>18</v>
      </c>
      <c r="F262" s="10" t="str">
        <f t="shared" ref="F262:F346" si="183">B262&amp;D262&amp;E262</f>
        <v>6HPECONOMY</v>
      </c>
      <c r="G262" s="11">
        <v>31.047249999999995</v>
      </c>
      <c r="H262" s="11">
        <v>31.047249999999995</v>
      </c>
      <c r="I262" s="11">
        <v>31.047249999999995</v>
      </c>
      <c r="J262" s="11">
        <v>31.047249999999995</v>
      </c>
      <c r="K262" s="11">
        <v>31.047249999999995</v>
      </c>
      <c r="M262" s="11">
        <f t="shared" ref="M262:M325" si="184">VLOOKUP(C262,$AG$5:$AL$9,6,FALSE)</f>
        <v>11.61</v>
      </c>
      <c r="O262" s="11" t="e">
        <f>#REF!</f>
        <v>#REF!</v>
      </c>
      <c r="P262" s="22" t="e">
        <f t="shared" ref="P262:S262" si="185">O262</f>
        <v>#REF!</v>
      </c>
      <c r="Q262" s="22" t="e">
        <f t="shared" si="185"/>
        <v>#REF!</v>
      </c>
      <c r="R262" s="22" t="e">
        <f t="shared" si="185"/>
        <v>#REF!</v>
      </c>
      <c r="S262" s="22" t="e">
        <f t="shared" si="185"/>
        <v>#REF!</v>
      </c>
      <c r="U262" s="11" t="e">
        <f>#REF!</f>
        <v>#REF!</v>
      </c>
      <c r="W262" s="11" t="e">
        <f t="shared" si="120"/>
        <v>#REF!</v>
      </c>
      <c r="X262" s="11" t="e">
        <f t="shared" si="121"/>
        <v>#REF!</v>
      </c>
      <c r="Y262" s="11" t="e">
        <f t="shared" si="122"/>
        <v>#REF!</v>
      </c>
      <c r="Z262" s="11" t="e">
        <f t="shared" si="123"/>
        <v>#REF!</v>
      </c>
      <c r="AA262" s="11" t="e">
        <f t="shared" si="124"/>
        <v>#REF!</v>
      </c>
    </row>
    <row r="263" spans="1:27" s="3" customFormat="1" x14ac:dyDescent="0.2">
      <c r="A263" s="4"/>
      <c r="B263" s="9">
        <v>7</v>
      </c>
      <c r="C263" s="9" t="s">
        <v>36</v>
      </c>
      <c r="D263" s="10" t="s">
        <v>14</v>
      </c>
      <c r="E263" s="20" t="s">
        <v>18</v>
      </c>
      <c r="F263" s="10" t="str">
        <f t="shared" si="183"/>
        <v>7HPECONOMY</v>
      </c>
      <c r="G263" s="11">
        <v>37.381749999999997</v>
      </c>
      <c r="H263" s="11">
        <v>37.381749999999997</v>
      </c>
      <c r="I263" s="11">
        <v>37.381749999999997</v>
      </c>
      <c r="J263" s="11">
        <v>37.381749999999997</v>
      </c>
      <c r="K263" s="11">
        <v>37.381749999999997</v>
      </c>
      <c r="M263" s="11">
        <f t="shared" si="184"/>
        <v>11.61</v>
      </c>
      <c r="O263" s="11" t="e">
        <f>#REF!</f>
        <v>#REF!</v>
      </c>
      <c r="P263" s="22" t="e">
        <f t="shared" ref="P263:S263" si="186">O263</f>
        <v>#REF!</v>
      </c>
      <c r="Q263" s="22" t="e">
        <f t="shared" si="186"/>
        <v>#REF!</v>
      </c>
      <c r="R263" s="22" t="e">
        <f t="shared" si="186"/>
        <v>#REF!</v>
      </c>
      <c r="S263" s="22" t="e">
        <f t="shared" si="186"/>
        <v>#REF!</v>
      </c>
      <c r="U263" s="11" t="e">
        <f>#REF!</f>
        <v>#REF!</v>
      </c>
      <c r="W263" s="11" t="e">
        <f t="shared" si="120"/>
        <v>#REF!</v>
      </c>
      <c r="X263" s="11" t="e">
        <f t="shared" si="121"/>
        <v>#REF!</v>
      </c>
      <c r="Y263" s="11" t="e">
        <f t="shared" si="122"/>
        <v>#REF!</v>
      </c>
      <c r="Z263" s="11" t="e">
        <f t="shared" si="123"/>
        <v>#REF!</v>
      </c>
      <c r="AA263" s="11" t="e">
        <f t="shared" si="124"/>
        <v>#REF!</v>
      </c>
    </row>
    <row r="264" spans="1:27" s="3" customFormat="1" x14ac:dyDescent="0.2">
      <c r="A264" s="4"/>
      <c r="B264" s="9">
        <v>8</v>
      </c>
      <c r="C264" s="9" t="s">
        <v>36</v>
      </c>
      <c r="D264" s="10" t="s">
        <v>14</v>
      </c>
      <c r="E264" s="20" t="s">
        <v>18</v>
      </c>
      <c r="F264" s="10" t="str">
        <f t="shared" si="183"/>
        <v>8HPECONOMY</v>
      </c>
      <c r="G264" s="11">
        <v>54.837499999999999</v>
      </c>
      <c r="H264" s="11">
        <v>54.837499999999999</v>
      </c>
      <c r="I264" s="11">
        <v>54.837499999999999</v>
      </c>
      <c r="J264" s="11">
        <v>54.837499999999999</v>
      </c>
      <c r="K264" s="11">
        <v>54.837499999999999</v>
      </c>
      <c r="M264" s="11">
        <f t="shared" si="184"/>
        <v>11.61</v>
      </c>
      <c r="O264" s="11" t="e">
        <f>#REF!</f>
        <v>#REF!</v>
      </c>
      <c r="P264" s="22" t="e">
        <f t="shared" ref="P264:S264" si="187">O264</f>
        <v>#REF!</v>
      </c>
      <c r="Q264" s="22" t="e">
        <f t="shared" si="187"/>
        <v>#REF!</v>
      </c>
      <c r="R264" s="22" t="e">
        <f t="shared" si="187"/>
        <v>#REF!</v>
      </c>
      <c r="S264" s="22" t="e">
        <f t="shared" si="187"/>
        <v>#REF!</v>
      </c>
      <c r="U264" s="11" t="e">
        <f>#REF!</f>
        <v>#REF!</v>
      </c>
      <c r="W264" s="11" t="e">
        <f t="shared" si="120"/>
        <v>#REF!</v>
      </c>
      <c r="X264" s="11" t="e">
        <f t="shared" si="121"/>
        <v>#REF!</v>
      </c>
      <c r="Y264" s="11" t="e">
        <f t="shared" si="122"/>
        <v>#REF!</v>
      </c>
      <c r="Z264" s="11" t="e">
        <f t="shared" si="123"/>
        <v>#REF!</v>
      </c>
      <c r="AA264" s="11" t="e">
        <f t="shared" si="124"/>
        <v>#REF!</v>
      </c>
    </row>
    <row r="265" spans="1:27" s="3" customFormat="1" x14ac:dyDescent="0.2">
      <c r="A265" s="4"/>
      <c r="B265" s="9">
        <v>9</v>
      </c>
      <c r="C265" s="9" t="s">
        <v>36</v>
      </c>
      <c r="D265" s="10" t="s">
        <v>14</v>
      </c>
      <c r="E265" s="20" t="s">
        <v>18</v>
      </c>
      <c r="F265" s="10" t="str">
        <f t="shared" si="183"/>
        <v>9HPECONOMY</v>
      </c>
      <c r="G265" s="11">
        <v>90.989249999999984</v>
      </c>
      <c r="H265" s="11">
        <v>90.989249999999984</v>
      </c>
      <c r="I265" s="11">
        <v>90.989249999999984</v>
      </c>
      <c r="J265" s="11">
        <v>90.989249999999984</v>
      </c>
      <c r="K265" s="11">
        <v>90.989249999999984</v>
      </c>
      <c r="M265" s="11">
        <f t="shared" si="184"/>
        <v>11.61</v>
      </c>
      <c r="O265" s="11" t="e">
        <f>#REF!</f>
        <v>#REF!</v>
      </c>
      <c r="P265" s="22" t="e">
        <f t="shared" ref="P265:S265" si="188">O265</f>
        <v>#REF!</v>
      </c>
      <c r="Q265" s="22" t="e">
        <f t="shared" si="188"/>
        <v>#REF!</v>
      </c>
      <c r="R265" s="22" t="e">
        <f t="shared" si="188"/>
        <v>#REF!</v>
      </c>
      <c r="S265" s="22" t="e">
        <f t="shared" si="188"/>
        <v>#REF!</v>
      </c>
      <c r="U265" s="11" t="e">
        <f>#REF!</f>
        <v>#REF!</v>
      </c>
      <c r="W265" s="11" t="e">
        <f t="shared" si="120"/>
        <v>#REF!</v>
      </c>
      <c r="X265" s="11" t="e">
        <f t="shared" si="121"/>
        <v>#REF!</v>
      </c>
      <c r="Y265" s="11" t="e">
        <f t="shared" si="122"/>
        <v>#REF!</v>
      </c>
      <c r="Z265" s="11" t="e">
        <f t="shared" si="123"/>
        <v>#REF!</v>
      </c>
      <c r="AA265" s="11" t="e">
        <f t="shared" si="124"/>
        <v>#REF!</v>
      </c>
    </row>
    <row r="266" spans="1:27" s="3" customFormat="1" x14ac:dyDescent="0.2">
      <c r="A266" s="4"/>
      <c r="B266" s="9">
        <v>10</v>
      </c>
      <c r="C266" s="9" t="s">
        <v>36</v>
      </c>
      <c r="D266" s="10" t="s">
        <v>14</v>
      </c>
      <c r="E266" s="20" t="s">
        <v>18</v>
      </c>
      <c r="F266" s="10" t="str">
        <f t="shared" si="183"/>
        <v>10HPECONOMY</v>
      </c>
      <c r="G266" s="11">
        <v>93.705500000000001</v>
      </c>
      <c r="H266" s="11">
        <v>93.705500000000001</v>
      </c>
      <c r="I266" s="11">
        <v>93.705500000000001</v>
      </c>
      <c r="J266" s="11">
        <v>93.705500000000001</v>
      </c>
      <c r="K266" s="11">
        <v>93.705500000000001</v>
      </c>
      <c r="M266" s="11">
        <f t="shared" si="184"/>
        <v>11.61</v>
      </c>
      <c r="O266" s="11" t="e">
        <f>#REF!</f>
        <v>#REF!</v>
      </c>
      <c r="P266" s="22" t="e">
        <f t="shared" ref="P266:S266" si="189">O266</f>
        <v>#REF!</v>
      </c>
      <c r="Q266" s="22" t="e">
        <f t="shared" si="189"/>
        <v>#REF!</v>
      </c>
      <c r="R266" s="22" t="e">
        <f t="shared" si="189"/>
        <v>#REF!</v>
      </c>
      <c r="S266" s="22" t="e">
        <f t="shared" si="189"/>
        <v>#REF!</v>
      </c>
      <c r="U266" s="11" t="e">
        <f>#REF!</f>
        <v>#REF!</v>
      </c>
      <c r="W266" s="11" t="e">
        <f t="shared" si="120"/>
        <v>#REF!</v>
      </c>
      <c r="X266" s="11" t="e">
        <f t="shared" si="121"/>
        <v>#REF!</v>
      </c>
      <c r="Y266" s="11" t="e">
        <f t="shared" si="122"/>
        <v>#REF!</v>
      </c>
      <c r="Z266" s="11" t="e">
        <f t="shared" si="123"/>
        <v>#REF!</v>
      </c>
      <c r="AA266" s="11" t="e">
        <f t="shared" si="124"/>
        <v>#REF!</v>
      </c>
    </row>
    <row r="267" spans="1:27" s="3" customFormat="1" x14ac:dyDescent="0.2">
      <c r="A267" s="4"/>
      <c r="B267" s="9">
        <v>11</v>
      </c>
      <c r="C267" s="9" t="s">
        <v>36</v>
      </c>
      <c r="D267" s="10" t="s">
        <v>14</v>
      </c>
      <c r="E267" s="20" t="s">
        <v>18</v>
      </c>
      <c r="F267" s="10" t="str">
        <f t="shared" si="183"/>
        <v>11HPECONOMY</v>
      </c>
      <c r="G267" s="11">
        <v>102.40774999999999</v>
      </c>
      <c r="H267" s="11">
        <v>102.40774999999999</v>
      </c>
      <c r="I267" s="11">
        <v>102.40774999999999</v>
      </c>
      <c r="J267" s="11">
        <v>102.40774999999999</v>
      </c>
      <c r="K267" s="11">
        <v>102.40774999999999</v>
      </c>
      <c r="M267" s="11">
        <f t="shared" si="184"/>
        <v>11.61</v>
      </c>
      <c r="O267" s="11" t="e">
        <f>#REF!</f>
        <v>#REF!</v>
      </c>
      <c r="P267" s="22" t="e">
        <f t="shared" ref="P267:S267" si="190">O267</f>
        <v>#REF!</v>
      </c>
      <c r="Q267" s="22" t="e">
        <f t="shared" si="190"/>
        <v>#REF!</v>
      </c>
      <c r="R267" s="22" t="e">
        <f t="shared" si="190"/>
        <v>#REF!</v>
      </c>
      <c r="S267" s="22" t="e">
        <f t="shared" si="190"/>
        <v>#REF!</v>
      </c>
      <c r="U267" s="11" t="e">
        <f>#REF!</f>
        <v>#REF!</v>
      </c>
      <c r="W267" s="11" t="e">
        <f t="shared" si="120"/>
        <v>#REF!</v>
      </c>
      <c r="X267" s="11" t="e">
        <f t="shared" si="121"/>
        <v>#REF!</v>
      </c>
      <c r="Y267" s="11" t="e">
        <f t="shared" si="122"/>
        <v>#REF!</v>
      </c>
      <c r="Z267" s="11" t="e">
        <f t="shared" si="123"/>
        <v>#REF!</v>
      </c>
      <c r="AA267" s="11" t="e">
        <f t="shared" si="124"/>
        <v>#REF!</v>
      </c>
    </row>
    <row r="268" spans="1:27" s="3" customFormat="1" x14ac:dyDescent="0.2">
      <c r="A268" s="4"/>
      <c r="B268" s="9">
        <v>12</v>
      </c>
      <c r="C268" s="9" t="s">
        <v>36</v>
      </c>
      <c r="D268" s="10" t="s">
        <v>14</v>
      </c>
      <c r="E268" s="20" t="s">
        <v>18</v>
      </c>
      <c r="F268" s="10" t="str">
        <f t="shared" si="183"/>
        <v>12HPECONOMY</v>
      </c>
      <c r="G268" s="11">
        <v>150.26499999999999</v>
      </c>
      <c r="H268" s="11">
        <v>150.26499999999999</v>
      </c>
      <c r="I268" s="11">
        <v>150.26499999999999</v>
      </c>
      <c r="J268" s="11">
        <v>150.26499999999999</v>
      </c>
      <c r="K268" s="11">
        <v>150.26499999999999</v>
      </c>
      <c r="M268" s="11">
        <f t="shared" si="184"/>
        <v>11.61</v>
      </c>
      <c r="O268" s="11" t="e">
        <f>#REF!</f>
        <v>#REF!</v>
      </c>
      <c r="P268" s="22" t="e">
        <f t="shared" ref="P268:S268" si="191">O268</f>
        <v>#REF!</v>
      </c>
      <c r="Q268" s="22" t="e">
        <f t="shared" si="191"/>
        <v>#REF!</v>
      </c>
      <c r="R268" s="22" t="e">
        <f t="shared" si="191"/>
        <v>#REF!</v>
      </c>
      <c r="S268" s="22" t="e">
        <f t="shared" si="191"/>
        <v>#REF!</v>
      </c>
      <c r="U268" s="11" t="e">
        <f>#REF!</f>
        <v>#REF!</v>
      </c>
      <c r="W268" s="11" t="e">
        <f t="shared" si="120"/>
        <v>#REF!</v>
      </c>
      <c r="X268" s="11" t="e">
        <f t="shared" si="121"/>
        <v>#REF!</v>
      </c>
      <c r="Y268" s="11" t="e">
        <f t="shared" si="122"/>
        <v>#REF!</v>
      </c>
      <c r="Z268" s="11" t="e">
        <f t="shared" si="123"/>
        <v>#REF!</v>
      </c>
      <c r="AA268" s="11" t="e">
        <f t="shared" si="124"/>
        <v>#REF!</v>
      </c>
    </row>
    <row r="269" spans="1:27" s="3" customFormat="1" x14ac:dyDescent="0.2">
      <c r="A269" s="4"/>
      <c r="B269" s="9">
        <v>13</v>
      </c>
      <c r="C269" s="9" t="s">
        <v>36</v>
      </c>
      <c r="D269" s="10" t="s">
        <v>14</v>
      </c>
      <c r="E269" s="20" t="s">
        <v>18</v>
      </c>
      <c r="F269" s="10" t="str">
        <f t="shared" ref="F269:F270" si="192">B269&amp;D269&amp;E269</f>
        <v>13HPECONOMY</v>
      </c>
      <c r="G269" s="11">
        <v>208.07499999999999</v>
      </c>
      <c r="H269" s="11">
        <v>208.07499999999999</v>
      </c>
      <c r="I269" s="11">
        <v>208.07499999999999</v>
      </c>
      <c r="J269" s="11">
        <v>208.07499999999999</v>
      </c>
      <c r="K269" s="11">
        <v>208.07499999999999</v>
      </c>
      <c r="M269" s="11">
        <f t="shared" si="184"/>
        <v>11.61</v>
      </c>
      <c r="O269" s="11" t="e">
        <f>#REF!</f>
        <v>#REF!</v>
      </c>
      <c r="P269" s="22" t="e">
        <f t="shared" ref="P269:P270" si="193">O269</f>
        <v>#REF!</v>
      </c>
      <c r="Q269" s="22" t="e">
        <f t="shared" ref="Q269:Q270" si="194">P269</f>
        <v>#REF!</v>
      </c>
      <c r="R269" s="22" t="e">
        <f t="shared" ref="R269:R270" si="195">Q269</f>
        <v>#REF!</v>
      </c>
      <c r="S269" s="22" t="e">
        <f t="shared" ref="S269:S270" si="196">R269</f>
        <v>#REF!</v>
      </c>
      <c r="U269" s="11" t="e">
        <f>#REF!</f>
        <v>#REF!</v>
      </c>
      <c r="W269" s="11" t="e">
        <f t="shared" ref="W269:W270" si="197">G269+$M269+O269+$U269</f>
        <v>#REF!</v>
      </c>
      <c r="X269" s="11" t="e">
        <f t="shared" ref="X269:X270" si="198">H269+$M269+P269+$U269</f>
        <v>#REF!</v>
      </c>
      <c r="Y269" s="11" t="e">
        <f t="shared" ref="Y269:Y270" si="199">I269+$M269+Q269+$U269</f>
        <v>#REF!</v>
      </c>
      <c r="Z269" s="11" t="e">
        <f t="shared" ref="Z269:Z270" si="200">J269+$M269+R269+$U269</f>
        <v>#REF!</v>
      </c>
      <c r="AA269" s="11" t="e">
        <f t="shared" ref="AA269:AA270" si="201">K269+$M269+S269+$U269</f>
        <v>#REF!</v>
      </c>
    </row>
    <row r="270" spans="1:27" s="3" customFormat="1" x14ac:dyDescent="0.2">
      <c r="A270" s="4"/>
      <c r="B270" s="9">
        <v>14</v>
      </c>
      <c r="C270" s="9" t="s">
        <v>36</v>
      </c>
      <c r="D270" s="10" t="s">
        <v>14</v>
      </c>
      <c r="E270" s="20" t="s">
        <v>18</v>
      </c>
      <c r="F270" s="10" t="str">
        <f t="shared" si="192"/>
        <v>14HPECONOMY</v>
      </c>
      <c r="G270" s="11">
        <v>231.64999999999998</v>
      </c>
      <c r="H270" s="11">
        <v>231.64999999999998</v>
      </c>
      <c r="I270" s="11">
        <v>231.64999999999998</v>
      </c>
      <c r="J270" s="11">
        <v>231.64999999999998</v>
      </c>
      <c r="K270" s="11">
        <v>231.64999999999998</v>
      </c>
      <c r="M270" s="11">
        <f t="shared" si="184"/>
        <v>11.61</v>
      </c>
      <c r="O270" s="11" t="e">
        <f>#REF!</f>
        <v>#REF!</v>
      </c>
      <c r="P270" s="22" t="e">
        <f t="shared" si="193"/>
        <v>#REF!</v>
      </c>
      <c r="Q270" s="22" t="e">
        <f t="shared" si="194"/>
        <v>#REF!</v>
      </c>
      <c r="R270" s="22" t="e">
        <f t="shared" si="195"/>
        <v>#REF!</v>
      </c>
      <c r="S270" s="22" t="e">
        <f t="shared" si="196"/>
        <v>#REF!</v>
      </c>
      <c r="U270" s="11" t="e">
        <f>#REF!</f>
        <v>#REF!</v>
      </c>
      <c r="W270" s="11" t="e">
        <f t="shared" si="197"/>
        <v>#REF!</v>
      </c>
      <c r="X270" s="11" t="e">
        <f t="shared" si="198"/>
        <v>#REF!</v>
      </c>
      <c r="Y270" s="11" t="e">
        <f t="shared" si="199"/>
        <v>#REF!</v>
      </c>
      <c r="Z270" s="11" t="e">
        <f t="shared" si="200"/>
        <v>#REF!</v>
      </c>
      <c r="AA270" s="11" t="e">
        <f t="shared" si="201"/>
        <v>#REF!</v>
      </c>
    </row>
    <row r="271" spans="1:27" s="3" customFormat="1" x14ac:dyDescent="0.2">
      <c r="A271" s="4"/>
      <c r="B271" s="9">
        <v>21</v>
      </c>
      <c r="C271" s="9" t="s">
        <v>37</v>
      </c>
      <c r="D271" s="10" t="s">
        <v>14</v>
      </c>
      <c r="E271" s="20" t="s">
        <v>18</v>
      </c>
      <c r="F271" s="10" t="str">
        <f t="shared" si="183"/>
        <v>21HPECONOMY</v>
      </c>
      <c r="G271" s="12">
        <v>12.802249999999999</v>
      </c>
      <c r="H271" s="12">
        <v>12.802249999999999</v>
      </c>
      <c r="I271" s="12">
        <v>12.802249999999999</v>
      </c>
      <c r="J271" s="12">
        <v>12.802249999999999</v>
      </c>
      <c r="K271" s="12">
        <v>12.802249999999999</v>
      </c>
      <c r="M271" s="12">
        <f t="shared" si="184"/>
        <v>11.51</v>
      </c>
      <c r="O271" s="12" t="e">
        <f>#REF!</f>
        <v>#REF!</v>
      </c>
      <c r="P271" s="22" t="e">
        <f t="shared" ref="P271:S271" si="202">O271</f>
        <v>#REF!</v>
      </c>
      <c r="Q271" s="22" t="e">
        <f t="shared" si="202"/>
        <v>#REF!</v>
      </c>
      <c r="R271" s="22" t="e">
        <f t="shared" si="202"/>
        <v>#REF!</v>
      </c>
      <c r="S271" s="22" t="e">
        <f t="shared" si="202"/>
        <v>#REF!</v>
      </c>
      <c r="U271" s="12" t="e">
        <f>#REF!</f>
        <v>#REF!</v>
      </c>
      <c r="W271" s="12" t="e">
        <f t="shared" si="120"/>
        <v>#REF!</v>
      </c>
      <c r="X271" s="12" t="e">
        <f t="shared" si="121"/>
        <v>#REF!</v>
      </c>
      <c r="Y271" s="12" t="e">
        <f t="shared" si="122"/>
        <v>#REF!</v>
      </c>
      <c r="Z271" s="12" t="e">
        <f t="shared" si="123"/>
        <v>#REF!</v>
      </c>
      <c r="AA271" s="12" t="e">
        <f t="shared" si="124"/>
        <v>#REF!</v>
      </c>
    </row>
    <row r="272" spans="1:27" s="3" customFormat="1" x14ac:dyDescent="0.2">
      <c r="A272" s="4"/>
      <c r="B272" s="9">
        <v>22</v>
      </c>
      <c r="C272" s="9" t="s">
        <v>37</v>
      </c>
      <c r="D272" s="10" t="s">
        <v>14</v>
      </c>
      <c r="E272" s="20" t="s">
        <v>18</v>
      </c>
      <c r="F272" s="10" t="str">
        <f t="shared" si="183"/>
        <v>22HPECONOMY</v>
      </c>
      <c r="G272" s="12">
        <v>17.445499999999999</v>
      </c>
      <c r="H272" s="12">
        <v>17.445499999999999</v>
      </c>
      <c r="I272" s="12">
        <v>17.445499999999999</v>
      </c>
      <c r="J272" s="12">
        <v>17.445499999999999</v>
      </c>
      <c r="K272" s="12">
        <v>17.445499999999999</v>
      </c>
      <c r="M272" s="12">
        <f t="shared" si="184"/>
        <v>11.51</v>
      </c>
      <c r="O272" s="12" t="e">
        <f>#REF!</f>
        <v>#REF!</v>
      </c>
      <c r="P272" s="22" t="e">
        <f t="shared" ref="P272:S272" si="203">O272</f>
        <v>#REF!</v>
      </c>
      <c r="Q272" s="22" t="e">
        <f t="shared" si="203"/>
        <v>#REF!</v>
      </c>
      <c r="R272" s="22" t="e">
        <f t="shared" si="203"/>
        <v>#REF!</v>
      </c>
      <c r="S272" s="22" t="e">
        <f t="shared" si="203"/>
        <v>#REF!</v>
      </c>
      <c r="U272" s="12" t="e">
        <f>#REF!</f>
        <v>#REF!</v>
      </c>
      <c r="W272" s="12" t="e">
        <f t="shared" si="120"/>
        <v>#REF!</v>
      </c>
      <c r="X272" s="12" t="e">
        <f t="shared" si="121"/>
        <v>#REF!</v>
      </c>
      <c r="Y272" s="12" t="e">
        <f t="shared" si="122"/>
        <v>#REF!</v>
      </c>
      <c r="Z272" s="12" t="e">
        <f t="shared" si="123"/>
        <v>#REF!</v>
      </c>
      <c r="AA272" s="12" t="e">
        <f t="shared" si="124"/>
        <v>#REF!</v>
      </c>
    </row>
    <row r="273" spans="1:27" s="3" customFormat="1" x14ac:dyDescent="0.2">
      <c r="A273" s="4"/>
      <c r="B273" s="9">
        <v>23</v>
      </c>
      <c r="C273" s="9" t="s">
        <v>37</v>
      </c>
      <c r="D273" s="10" t="s">
        <v>14</v>
      </c>
      <c r="E273" s="20" t="s">
        <v>18</v>
      </c>
      <c r="F273" s="10" t="str">
        <f t="shared" si="183"/>
        <v>23HPECONOMY</v>
      </c>
      <c r="G273" s="12">
        <v>19.013749999999998</v>
      </c>
      <c r="H273" s="12">
        <v>19.013749999999998</v>
      </c>
      <c r="I273" s="12">
        <v>19.013749999999998</v>
      </c>
      <c r="J273" s="12">
        <v>19.013749999999998</v>
      </c>
      <c r="K273" s="12">
        <v>19.013749999999998</v>
      </c>
      <c r="M273" s="12">
        <f t="shared" si="184"/>
        <v>11.51</v>
      </c>
      <c r="O273" s="12" t="e">
        <f>#REF!</f>
        <v>#REF!</v>
      </c>
      <c r="P273" s="22" t="e">
        <f t="shared" ref="P273:S273" si="204">O273</f>
        <v>#REF!</v>
      </c>
      <c r="Q273" s="22" t="e">
        <f t="shared" si="204"/>
        <v>#REF!</v>
      </c>
      <c r="R273" s="22" t="e">
        <f t="shared" si="204"/>
        <v>#REF!</v>
      </c>
      <c r="S273" s="22" t="e">
        <f t="shared" si="204"/>
        <v>#REF!</v>
      </c>
      <c r="U273" s="12" t="e">
        <f>#REF!</f>
        <v>#REF!</v>
      </c>
      <c r="W273" s="12" t="e">
        <f t="shared" si="120"/>
        <v>#REF!</v>
      </c>
      <c r="X273" s="12" t="e">
        <f t="shared" si="121"/>
        <v>#REF!</v>
      </c>
      <c r="Y273" s="12" t="e">
        <f t="shared" si="122"/>
        <v>#REF!</v>
      </c>
      <c r="Z273" s="12" t="e">
        <f t="shared" si="123"/>
        <v>#REF!</v>
      </c>
      <c r="AA273" s="12" t="e">
        <f t="shared" si="124"/>
        <v>#REF!</v>
      </c>
    </row>
    <row r="274" spans="1:27" s="3" customFormat="1" x14ac:dyDescent="0.2">
      <c r="A274" s="4"/>
      <c r="B274" s="9">
        <v>24</v>
      </c>
      <c r="C274" s="9" t="s">
        <v>37</v>
      </c>
      <c r="D274" s="10" t="s">
        <v>14</v>
      </c>
      <c r="E274" s="20" t="s">
        <v>18</v>
      </c>
      <c r="F274" s="10" t="str">
        <f t="shared" si="183"/>
        <v>24HPECONOMY</v>
      </c>
      <c r="G274" s="12">
        <v>20.530749999999998</v>
      </c>
      <c r="H274" s="12">
        <v>20.530749999999998</v>
      </c>
      <c r="I274" s="12">
        <v>20.530749999999998</v>
      </c>
      <c r="J274" s="12">
        <v>20.530749999999998</v>
      </c>
      <c r="K274" s="12">
        <v>20.530749999999998</v>
      </c>
      <c r="M274" s="12">
        <f t="shared" si="184"/>
        <v>11.51</v>
      </c>
      <c r="O274" s="12" t="e">
        <f>#REF!</f>
        <v>#REF!</v>
      </c>
      <c r="P274" s="22" t="e">
        <f t="shared" ref="P274:S274" si="205">O274</f>
        <v>#REF!</v>
      </c>
      <c r="Q274" s="22" t="e">
        <f t="shared" si="205"/>
        <v>#REF!</v>
      </c>
      <c r="R274" s="22" t="e">
        <f t="shared" si="205"/>
        <v>#REF!</v>
      </c>
      <c r="S274" s="22" t="e">
        <f t="shared" si="205"/>
        <v>#REF!</v>
      </c>
      <c r="U274" s="12" t="e">
        <f>#REF!</f>
        <v>#REF!</v>
      </c>
      <c r="W274" s="12" t="e">
        <f t="shared" si="120"/>
        <v>#REF!</v>
      </c>
      <c r="X274" s="12" t="e">
        <f t="shared" si="121"/>
        <v>#REF!</v>
      </c>
      <c r="Y274" s="12" t="e">
        <f t="shared" si="122"/>
        <v>#REF!</v>
      </c>
      <c r="Z274" s="12" t="e">
        <f t="shared" si="123"/>
        <v>#REF!</v>
      </c>
      <c r="AA274" s="12" t="e">
        <f t="shared" si="124"/>
        <v>#REF!</v>
      </c>
    </row>
    <row r="275" spans="1:27" s="3" customFormat="1" x14ac:dyDescent="0.2">
      <c r="A275" s="4"/>
      <c r="B275" s="9">
        <v>25</v>
      </c>
      <c r="C275" s="9" t="s">
        <v>37</v>
      </c>
      <c r="D275" s="10" t="s">
        <v>14</v>
      </c>
      <c r="E275" s="20" t="s">
        <v>18</v>
      </c>
      <c r="F275" s="10" t="str">
        <f t="shared" si="183"/>
        <v>25HPECONOMY</v>
      </c>
      <c r="G275" s="12">
        <v>20.889499999999998</v>
      </c>
      <c r="H275" s="12">
        <v>20.889499999999998</v>
      </c>
      <c r="I275" s="12">
        <v>20.889499999999998</v>
      </c>
      <c r="J275" s="12">
        <v>20.889499999999998</v>
      </c>
      <c r="K275" s="12">
        <v>20.889499999999998</v>
      </c>
      <c r="M275" s="12">
        <f t="shared" si="184"/>
        <v>11.51</v>
      </c>
      <c r="O275" s="12" t="e">
        <f>#REF!</f>
        <v>#REF!</v>
      </c>
      <c r="P275" s="22" t="e">
        <f t="shared" ref="P275:S275" si="206">O275</f>
        <v>#REF!</v>
      </c>
      <c r="Q275" s="22" t="e">
        <f t="shared" si="206"/>
        <v>#REF!</v>
      </c>
      <c r="R275" s="22" t="e">
        <f t="shared" si="206"/>
        <v>#REF!</v>
      </c>
      <c r="S275" s="22" t="e">
        <f t="shared" si="206"/>
        <v>#REF!</v>
      </c>
      <c r="U275" s="12" t="e">
        <f>#REF!</f>
        <v>#REF!</v>
      </c>
      <c r="W275" s="12" t="e">
        <f t="shared" si="120"/>
        <v>#REF!</v>
      </c>
      <c r="X275" s="12" t="e">
        <f t="shared" si="121"/>
        <v>#REF!</v>
      </c>
      <c r="Y275" s="12" t="e">
        <f t="shared" si="122"/>
        <v>#REF!</v>
      </c>
      <c r="Z275" s="12" t="e">
        <f t="shared" si="123"/>
        <v>#REF!</v>
      </c>
      <c r="AA275" s="12" t="e">
        <f t="shared" si="124"/>
        <v>#REF!</v>
      </c>
    </row>
    <row r="276" spans="1:27" s="3" customFormat="1" x14ac:dyDescent="0.2">
      <c r="A276" s="4"/>
      <c r="B276" s="9">
        <v>26</v>
      </c>
      <c r="C276" s="9" t="s">
        <v>37</v>
      </c>
      <c r="D276" s="10" t="s">
        <v>14</v>
      </c>
      <c r="E276" s="20" t="s">
        <v>18</v>
      </c>
      <c r="F276" s="10" t="str">
        <f t="shared" si="183"/>
        <v>26HPECONOMY</v>
      </c>
      <c r="G276" s="12">
        <v>21.709499999999998</v>
      </c>
      <c r="H276" s="12">
        <v>21.709499999999998</v>
      </c>
      <c r="I276" s="12">
        <v>21.709499999999998</v>
      </c>
      <c r="J276" s="12">
        <v>21.709499999999998</v>
      </c>
      <c r="K276" s="12">
        <v>21.709499999999998</v>
      </c>
      <c r="M276" s="12">
        <f t="shared" si="184"/>
        <v>11.51</v>
      </c>
      <c r="O276" s="12" t="e">
        <f>#REF!</f>
        <v>#REF!</v>
      </c>
      <c r="P276" s="22" t="e">
        <f t="shared" ref="P276:S276" si="207">O276</f>
        <v>#REF!</v>
      </c>
      <c r="Q276" s="22" t="e">
        <f t="shared" si="207"/>
        <v>#REF!</v>
      </c>
      <c r="R276" s="22" t="e">
        <f t="shared" si="207"/>
        <v>#REF!</v>
      </c>
      <c r="S276" s="22" t="e">
        <f t="shared" si="207"/>
        <v>#REF!</v>
      </c>
      <c r="U276" s="12" t="e">
        <f>#REF!</f>
        <v>#REF!</v>
      </c>
      <c r="W276" s="12" t="e">
        <f t="shared" si="120"/>
        <v>#REF!</v>
      </c>
      <c r="X276" s="12" t="e">
        <f t="shared" si="121"/>
        <v>#REF!</v>
      </c>
      <c r="Y276" s="12" t="e">
        <f t="shared" si="122"/>
        <v>#REF!</v>
      </c>
      <c r="Z276" s="12" t="e">
        <f t="shared" si="123"/>
        <v>#REF!</v>
      </c>
      <c r="AA276" s="12" t="e">
        <f t="shared" si="124"/>
        <v>#REF!</v>
      </c>
    </row>
    <row r="277" spans="1:27" s="3" customFormat="1" x14ac:dyDescent="0.2">
      <c r="A277" s="4"/>
      <c r="B277" s="9">
        <v>27</v>
      </c>
      <c r="C277" s="9" t="s">
        <v>37</v>
      </c>
      <c r="D277" s="10" t="s">
        <v>14</v>
      </c>
      <c r="E277" s="20" t="s">
        <v>18</v>
      </c>
      <c r="F277" s="10" t="str">
        <f t="shared" si="183"/>
        <v>27HPECONOMY</v>
      </c>
      <c r="G277" s="12">
        <v>85.331249999999997</v>
      </c>
      <c r="H277" s="12">
        <v>85.331249999999997</v>
      </c>
      <c r="I277" s="12">
        <v>85.331249999999997</v>
      </c>
      <c r="J277" s="12">
        <v>85.331249999999997</v>
      </c>
      <c r="K277" s="12">
        <v>85.331249999999997</v>
      </c>
      <c r="M277" s="12">
        <f t="shared" si="184"/>
        <v>11.51</v>
      </c>
      <c r="O277" s="12" t="e">
        <f>#REF!</f>
        <v>#REF!</v>
      </c>
      <c r="P277" s="22" t="e">
        <f t="shared" ref="P277:S277" si="208">O277</f>
        <v>#REF!</v>
      </c>
      <c r="Q277" s="22" t="e">
        <f t="shared" si="208"/>
        <v>#REF!</v>
      </c>
      <c r="R277" s="22" t="e">
        <f t="shared" si="208"/>
        <v>#REF!</v>
      </c>
      <c r="S277" s="22" t="e">
        <f t="shared" si="208"/>
        <v>#REF!</v>
      </c>
      <c r="U277" s="12" t="e">
        <f>#REF!</f>
        <v>#REF!</v>
      </c>
      <c r="W277" s="12" t="e">
        <f t="shared" si="120"/>
        <v>#REF!</v>
      </c>
      <c r="X277" s="12" t="e">
        <f t="shared" si="121"/>
        <v>#REF!</v>
      </c>
      <c r="Y277" s="12" t="e">
        <f t="shared" si="122"/>
        <v>#REF!</v>
      </c>
      <c r="Z277" s="12" t="e">
        <f t="shared" si="123"/>
        <v>#REF!</v>
      </c>
      <c r="AA277" s="12" t="e">
        <f t="shared" si="124"/>
        <v>#REF!</v>
      </c>
    </row>
    <row r="278" spans="1:27" s="3" customFormat="1" x14ac:dyDescent="0.2">
      <c r="A278" s="4"/>
      <c r="B278" s="9">
        <v>28</v>
      </c>
      <c r="C278" s="9" t="s">
        <v>37</v>
      </c>
      <c r="D278" s="10" t="s">
        <v>14</v>
      </c>
      <c r="E278" s="20" t="s">
        <v>18</v>
      </c>
      <c r="F278" s="10" t="str">
        <f t="shared" si="183"/>
        <v>28HPECONOMY</v>
      </c>
      <c r="G278" s="12">
        <v>88.047499999999999</v>
      </c>
      <c r="H278" s="12">
        <v>88.047499999999999</v>
      </c>
      <c r="I278" s="12">
        <v>88.047499999999999</v>
      </c>
      <c r="J278" s="12">
        <v>88.047499999999999</v>
      </c>
      <c r="K278" s="12">
        <v>88.047499999999999</v>
      </c>
      <c r="M278" s="12">
        <f t="shared" si="184"/>
        <v>11.51</v>
      </c>
      <c r="O278" s="12" t="e">
        <f>#REF!</f>
        <v>#REF!</v>
      </c>
      <c r="P278" s="22" t="e">
        <f t="shared" ref="P278:S278" si="209">O278</f>
        <v>#REF!</v>
      </c>
      <c r="Q278" s="22" t="e">
        <f t="shared" si="209"/>
        <v>#REF!</v>
      </c>
      <c r="R278" s="22" t="e">
        <f t="shared" si="209"/>
        <v>#REF!</v>
      </c>
      <c r="S278" s="22" t="e">
        <f t="shared" si="209"/>
        <v>#REF!</v>
      </c>
      <c r="U278" s="12" t="e">
        <f>#REF!</f>
        <v>#REF!</v>
      </c>
      <c r="W278" s="12" t="e">
        <f t="shared" ref="W278:W345" si="210">G278+$M278+O278+$U278</f>
        <v>#REF!</v>
      </c>
      <c r="X278" s="12" t="e">
        <f t="shared" ref="X278:X345" si="211">H278+$M278+P278+$U278</f>
        <v>#REF!</v>
      </c>
      <c r="Y278" s="12" t="e">
        <f t="shared" ref="Y278:Y345" si="212">I278+$M278+Q278+$U278</f>
        <v>#REF!</v>
      </c>
      <c r="Z278" s="12" t="e">
        <f t="shared" ref="Z278:Z345" si="213">J278+$M278+R278+$U278</f>
        <v>#REF!</v>
      </c>
      <c r="AA278" s="12" t="e">
        <f t="shared" ref="AA278:AA345" si="214">K278+$M278+S278+$U278</f>
        <v>#REF!</v>
      </c>
    </row>
    <row r="279" spans="1:27" s="3" customFormat="1" x14ac:dyDescent="0.2">
      <c r="A279" s="4"/>
      <c r="B279" s="9">
        <v>31</v>
      </c>
      <c r="C279" s="9" t="s">
        <v>46</v>
      </c>
      <c r="D279" s="10" t="s">
        <v>14</v>
      </c>
      <c r="E279" s="20" t="s">
        <v>18</v>
      </c>
      <c r="F279" s="10" t="str">
        <f t="shared" si="183"/>
        <v>31HPECONOMY</v>
      </c>
      <c r="G279" s="13">
        <v>12.35125</v>
      </c>
      <c r="H279" s="13">
        <v>12.35125</v>
      </c>
      <c r="I279" s="13">
        <v>12.35125</v>
      </c>
      <c r="J279" s="13">
        <v>12.35125</v>
      </c>
      <c r="K279" s="13">
        <v>12.35125</v>
      </c>
      <c r="M279" s="13">
        <f t="shared" si="184"/>
        <v>10.81</v>
      </c>
      <c r="O279" s="13" t="e">
        <f>#REF!</f>
        <v>#REF!</v>
      </c>
      <c r="P279" s="22" t="e">
        <f t="shared" ref="P279:S279" si="215">O279</f>
        <v>#REF!</v>
      </c>
      <c r="Q279" s="22" t="e">
        <f t="shared" si="215"/>
        <v>#REF!</v>
      </c>
      <c r="R279" s="22" t="e">
        <f t="shared" si="215"/>
        <v>#REF!</v>
      </c>
      <c r="S279" s="22" t="e">
        <f t="shared" si="215"/>
        <v>#REF!</v>
      </c>
      <c r="U279" s="13" t="e">
        <f>#REF!</f>
        <v>#REF!</v>
      </c>
      <c r="W279" s="13" t="e">
        <f t="shared" si="210"/>
        <v>#REF!</v>
      </c>
      <c r="X279" s="13" t="e">
        <f t="shared" si="211"/>
        <v>#REF!</v>
      </c>
      <c r="Y279" s="13" t="e">
        <f t="shared" si="212"/>
        <v>#REF!</v>
      </c>
      <c r="Z279" s="13" t="e">
        <f t="shared" si="213"/>
        <v>#REF!</v>
      </c>
      <c r="AA279" s="13" t="e">
        <f t="shared" si="214"/>
        <v>#REF!</v>
      </c>
    </row>
    <row r="280" spans="1:27" s="3" customFormat="1" x14ac:dyDescent="0.2">
      <c r="A280" s="4"/>
      <c r="B280" s="9">
        <v>32</v>
      </c>
      <c r="C280" s="9" t="s">
        <v>46</v>
      </c>
      <c r="D280" s="10" t="s">
        <v>14</v>
      </c>
      <c r="E280" s="20" t="s">
        <v>18</v>
      </c>
      <c r="F280" s="10" t="str">
        <f t="shared" si="183"/>
        <v>32HPECONOMY</v>
      </c>
      <c r="G280" s="13">
        <v>16.533249999999999</v>
      </c>
      <c r="H280" s="13">
        <v>16.533249999999999</v>
      </c>
      <c r="I280" s="13">
        <v>16.533249999999999</v>
      </c>
      <c r="J280" s="13">
        <v>16.533249999999999</v>
      </c>
      <c r="K280" s="13">
        <v>16.533249999999999</v>
      </c>
      <c r="M280" s="13">
        <f t="shared" si="184"/>
        <v>10.81</v>
      </c>
      <c r="O280" s="13" t="e">
        <f>#REF!</f>
        <v>#REF!</v>
      </c>
      <c r="P280" s="22" t="e">
        <f t="shared" ref="P280:S280" si="216">O280</f>
        <v>#REF!</v>
      </c>
      <c r="Q280" s="22" t="e">
        <f t="shared" si="216"/>
        <v>#REF!</v>
      </c>
      <c r="R280" s="22" t="e">
        <f t="shared" si="216"/>
        <v>#REF!</v>
      </c>
      <c r="S280" s="22" t="e">
        <f t="shared" si="216"/>
        <v>#REF!</v>
      </c>
      <c r="U280" s="13" t="e">
        <f>#REF!</f>
        <v>#REF!</v>
      </c>
      <c r="W280" s="13" t="e">
        <f t="shared" si="210"/>
        <v>#REF!</v>
      </c>
      <c r="X280" s="13" t="e">
        <f t="shared" si="211"/>
        <v>#REF!</v>
      </c>
      <c r="Y280" s="13" t="e">
        <f t="shared" si="212"/>
        <v>#REF!</v>
      </c>
      <c r="Z280" s="13" t="e">
        <f t="shared" si="213"/>
        <v>#REF!</v>
      </c>
      <c r="AA280" s="13" t="e">
        <f t="shared" si="214"/>
        <v>#REF!</v>
      </c>
    </row>
    <row r="281" spans="1:27" s="3" customFormat="1" x14ac:dyDescent="0.2">
      <c r="A281" s="4"/>
      <c r="B281" s="9">
        <v>33</v>
      </c>
      <c r="C281" s="9" t="s">
        <v>46</v>
      </c>
      <c r="D281" s="10" t="s">
        <v>14</v>
      </c>
      <c r="E281" s="20" t="s">
        <v>18</v>
      </c>
      <c r="F281" s="10" t="str">
        <f t="shared" si="183"/>
        <v>33HPECONOMY</v>
      </c>
      <c r="G281" s="13">
        <v>18.593499999999999</v>
      </c>
      <c r="H281" s="13">
        <v>18.593499999999999</v>
      </c>
      <c r="I281" s="13">
        <v>18.593499999999999</v>
      </c>
      <c r="J281" s="13">
        <v>18.593499999999999</v>
      </c>
      <c r="K281" s="13">
        <v>18.593499999999999</v>
      </c>
      <c r="M281" s="13">
        <f t="shared" si="184"/>
        <v>10.81</v>
      </c>
      <c r="O281" s="13" t="e">
        <f>#REF!</f>
        <v>#REF!</v>
      </c>
      <c r="P281" s="22" t="e">
        <f t="shared" ref="P281:S281" si="217">O281</f>
        <v>#REF!</v>
      </c>
      <c r="Q281" s="22" t="e">
        <f t="shared" si="217"/>
        <v>#REF!</v>
      </c>
      <c r="R281" s="22" t="e">
        <f t="shared" si="217"/>
        <v>#REF!</v>
      </c>
      <c r="S281" s="22" t="e">
        <f t="shared" si="217"/>
        <v>#REF!</v>
      </c>
      <c r="U281" s="13" t="e">
        <f>#REF!</f>
        <v>#REF!</v>
      </c>
      <c r="W281" s="13" t="e">
        <f t="shared" si="210"/>
        <v>#REF!</v>
      </c>
      <c r="X281" s="13" t="e">
        <f t="shared" si="211"/>
        <v>#REF!</v>
      </c>
      <c r="Y281" s="13" t="e">
        <f t="shared" si="212"/>
        <v>#REF!</v>
      </c>
      <c r="Z281" s="13" t="e">
        <f t="shared" si="213"/>
        <v>#REF!</v>
      </c>
      <c r="AA281" s="13" t="e">
        <f t="shared" si="214"/>
        <v>#REF!</v>
      </c>
    </row>
    <row r="282" spans="1:27" s="3" customFormat="1" x14ac:dyDescent="0.2">
      <c r="A282" s="4"/>
      <c r="B282" s="9">
        <v>34</v>
      </c>
      <c r="C282" s="9" t="s">
        <v>46</v>
      </c>
      <c r="D282" s="10" t="s">
        <v>14</v>
      </c>
      <c r="E282" s="20" t="s">
        <v>18</v>
      </c>
      <c r="F282" s="10" t="str">
        <f t="shared" si="183"/>
        <v>34HPECONOMY</v>
      </c>
      <c r="G282" s="13">
        <v>21.74025</v>
      </c>
      <c r="H282" s="13">
        <v>21.74025</v>
      </c>
      <c r="I282" s="13">
        <v>21.74025</v>
      </c>
      <c r="J282" s="13">
        <v>21.74025</v>
      </c>
      <c r="K282" s="13">
        <v>21.74025</v>
      </c>
      <c r="M282" s="13">
        <f t="shared" si="184"/>
        <v>10.81</v>
      </c>
      <c r="O282" s="13" t="e">
        <f>#REF!</f>
        <v>#REF!</v>
      </c>
      <c r="P282" s="22" t="e">
        <f t="shared" ref="P282:S282" si="218">O282</f>
        <v>#REF!</v>
      </c>
      <c r="Q282" s="22" t="e">
        <f t="shared" si="218"/>
        <v>#REF!</v>
      </c>
      <c r="R282" s="22" t="e">
        <f t="shared" si="218"/>
        <v>#REF!</v>
      </c>
      <c r="S282" s="22" t="e">
        <f t="shared" si="218"/>
        <v>#REF!</v>
      </c>
      <c r="U282" s="13" t="e">
        <f>#REF!</f>
        <v>#REF!</v>
      </c>
      <c r="W282" s="13" t="e">
        <f t="shared" si="210"/>
        <v>#REF!</v>
      </c>
      <c r="X282" s="13" t="e">
        <f t="shared" si="211"/>
        <v>#REF!</v>
      </c>
      <c r="Y282" s="13" t="e">
        <f t="shared" si="212"/>
        <v>#REF!</v>
      </c>
      <c r="Z282" s="13" t="e">
        <f t="shared" si="213"/>
        <v>#REF!</v>
      </c>
      <c r="AA282" s="13" t="e">
        <f t="shared" si="214"/>
        <v>#REF!</v>
      </c>
    </row>
    <row r="283" spans="1:27" s="3" customFormat="1" x14ac:dyDescent="0.2">
      <c r="A283" s="4"/>
      <c r="B283" s="9">
        <v>35</v>
      </c>
      <c r="C283" s="9" t="s">
        <v>46</v>
      </c>
      <c r="D283" s="10" t="s">
        <v>14</v>
      </c>
      <c r="E283" s="20" t="s">
        <v>18</v>
      </c>
      <c r="F283" s="10" t="str">
        <f t="shared" si="183"/>
        <v>35HPECONOMY</v>
      </c>
      <c r="G283" s="13">
        <v>24.107999999999997</v>
      </c>
      <c r="H283" s="13">
        <v>24.107999999999997</v>
      </c>
      <c r="I283" s="13">
        <v>24.107999999999997</v>
      </c>
      <c r="J283" s="13">
        <v>24.107999999999997</v>
      </c>
      <c r="K283" s="13">
        <v>24.107999999999997</v>
      </c>
      <c r="M283" s="13">
        <f t="shared" si="184"/>
        <v>10.81</v>
      </c>
      <c r="O283" s="13" t="e">
        <f>#REF!</f>
        <v>#REF!</v>
      </c>
      <c r="P283" s="22" t="e">
        <f t="shared" ref="P283:S283" si="219">O283</f>
        <v>#REF!</v>
      </c>
      <c r="Q283" s="22" t="e">
        <f t="shared" si="219"/>
        <v>#REF!</v>
      </c>
      <c r="R283" s="22" t="e">
        <f t="shared" si="219"/>
        <v>#REF!</v>
      </c>
      <c r="S283" s="22" t="e">
        <f t="shared" si="219"/>
        <v>#REF!</v>
      </c>
      <c r="U283" s="13" t="e">
        <f>#REF!</f>
        <v>#REF!</v>
      </c>
      <c r="W283" s="13" t="e">
        <f t="shared" si="210"/>
        <v>#REF!</v>
      </c>
      <c r="X283" s="13" t="e">
        <f t="shared" si="211"/>
        <v>#REF!</v>
      </c>
      <c r="Y283" s="13" t="e">
        <f t="shared" si="212"/>
        <v>#REF!</v>
      </c>
      <c r="Z283" s="13" t="e">
        <f t="shared" si="213"/>
        <v>#REF!</v>
      </c>
      <c r="AA283" s="13" t="e">
        <f t="shared" si="214"/>
        <v>#REF!</v>
      </c>
    </row>
    <row r="284" spans="1:27" s="3" customFormat="1" x14ac:dyDescent="0.2">
      <c r="A284" s="4"/>
      <c r="B284" s="9">
        <v>41</v>
      </c>
      <c r="C284" s="9" t="s">
        <v>38</v>
      </c>
      <c r="D284" s="10" t="s">
        <v>14</v>
      </c>
      <c r="E284" s="20" t="s">
        <v>18</v>
      </c>
      <c r="F284" s="10" t="str">
        <f t="shared" si="183"/>
        <v>41HPECONOMY</v>
      </c>
      <c r="G284" s="14">
        <v>12.95</v>
      </c>
      <c r="H284" s="14">
        <v>12.95</v>
      </c>
      <c r="I284" s="14">
        <v>12.95</v>
      </c>
      <c r="J284" s="14">
        <v>12.95</v>
      </c>
      <c r="K284" s="14">
        <v>12.95</v>
      </c>
      <c r="M284" s="14">
        <f t="shared" si="184"/>
        <v>9.76</v>
      </c>
      <c r="O284" s="14" t="e">
        <f>#REF!</f>
        <v>#REF!</v>
      </c>
      <c r="P284" s="22" t="e">
        <f t="shared" ref="P284:S284" si="220">O284</f>
        <v>#REF!</v>
      </c>
      <c r="Q284" s="22" t="e">
        <f t="shared" si="220"/>
        <v>#REF!</v>
      </c>
      <c r="R284" s="22" t="e">
        <f t="shared" si="220"/>
        <v>#REF!</v>
      </c>
      <c r="S284" s="22" t="e">
        <f t="shared" si="220"/>
        <v>#REF!</v>
      </c>
      <c r="U284" s="14" t="e">
        <f>#REF!</f>
        <v>#REF!</v>
      </c>
      <c r="W284" s="14" t="e">
        <f t="shared" si="210"/>
        <v>#REF!</v>
      </c>
      <c r="X284" s="14" t="e">
        <f t="shared" si="211"/>
        <v>#REF!</v>
      </c>
      <c r="Y284" s="14" t="e">
        <f t="shared" si="212"/>
        <v>#REF!</v>
      </c>
      <c r="Z284" s="14" t="e">
        <f t="shared" si="213"/>
        <v>#REF!</v>
      </c>
      <c r="AA284" s="14" t="e">
        <f t="shared" si="214"/>
        <v>#REF!</v>
      </c>
    </row>
    <row r="285" spans="1:27" s="3" customFormat="1" x14ac:dyDescent="0.2">
      <c r="A285" s="4"/>
      <c r="B285" s="9">
        <v>42</v>
      </c>
      <c r="C285" s="9" t="s">
        <v>38</v>
      </c>
      <c r="D285" s="10" t="s">
        <v>14</v>
      </c>
      <c r="E285" s="20" t="s">
        <v>18</v>
      </c>
      <c r="F285" s="10" t="str">
        <f t="shared" si="183"/>
        <v>42HPECONOMY</v>
      </c>
      <c r="G285" s="14">
        <v>15.55</v>
      </c>
      <c r="H285" s="14">
        <v>15.55</v>
      </c>
      <c r="I285" s="14">
        <v>15.55</v>
      </c>
      <c r="J285" s="14">
        <v>15.55</v>
      </c>
      <c r="K285" s="14">
        <v>15.55</v>
      </c>
      <c r="M285" s="14">
        <f t="shared" si="184"/>
        <v>9.76</v>
      </c>
      <c r="O285" s="14" t="e">
        <f>#REF!</f>
        <v>#REF!</v>
      </c>
      <c r="P285" s="22" t="e">
        <f t="shared" ref="P285:S285" si="221">O285</f>
        <v>#REF!</v>
      </c>
      <c r="Q285" s="22" t="e">
        <f t="shared" si="221"/>
        <v>#REF!</v>
      </c>
      <c r="R285" s="22" t="e">
        <f t="shared" si="221"/>
        <v>#REF!</v>
      </c>
      <c r="S285" s="22" t="e">
        <f t="shared" si="221"/>
        <v>#REF!</v>
      </c>
      <c r="U285" s="14" t="e">
        <f>#REF!</f>
        <v>#REF!</v>
      </c>
      <c r="W285" s="14" t="e">
        <f t="shared" si="210"/>
        <v>#REF!</v>
      </c>
      <c r="X285" s="14" t="e">
        <f t="shared" si="211"/>
        <v>#REF!</v>
      </c>
      <c r="Y285" s="14" t="e">
        <f t="shared" si="212"/>
        <v>#REF!</v>
      </c>
      <c r="Z285" s="14" t="e">
        <f t="shared" si="213"/>
        <v>#REF!</v>
      </c>
      <c r="AA285" s="14" t="e">
        <f t="shared" si="214"/>
        <v>#REF!</v>
      </c>
    </row>
    <row r="286" spans="1:27" s="3" customFormat="1" x14ac:dyDescent="0.2">
      <c r="A286" s="4"/>
      <c r="B286" s="9">
        <v>43</v>
      </c>
      <c r="C286" s="9" t="s">
        <v>38</v>
      </c>
      <c r="D286" s="10" t="s">
        <v>14</v>
      </c>
      <c r="E286" s="20" t="s">
        <v>18</v>
      </c>
      <c r="F286" s="10" t="str">
        <f t="shared" si="183"/>
        <v>43HPECONOMY</v>
      </c>
      <c r="G286" s="14">
        <v>17.95</v>
      </c>
      <c r="H286" s="14">
        <v>17.95</v>
      </c>
      <c r="I286" s="14">
        <v>17.95</v>
      </c>
      <c r="J286" s="14">
        <v>17.95</v>
      </c>
      <c r="K286" s="14">
        <v>17.95</v>
      </c>
      <c r="M286" s="14">
        <f t="shared" si="184"/>
        <v>9.76</v>
      </c>
      <c r="O286" s="14" t="e">
        <f>#REF!</f>
        <v>#REF!</v>
      </c>
      <c r="P286" s="22" t="e">
        <f t="shared" ref="P286:S286" si="222">O286</f>
        <v>#REF!</v>
      </c>
      <c r="Q286" s="22" t="e">
        <f t="shared" si="222"/>
        <v>#REF!</v>
      </c>
      <c r="R286" s="22" t="e">
        <f t="shared" si="222"/>
        <v>#REF!</v>
      </c>
      <c r="S286" s="22" t="e">
        <f t="shared" si="222"/>
        <v>#REF!</v>
      </c>
      <c r="U286" s="14" t="e">
        <f>#REF!</f>
        <v>#REF!</v>
      </c>
      <c r="W286" s="14" t="e">
        <f t="shared" si="210"/>
        <v>#REF!</v>
      </c>
      <c r="X286" s="14" t="e">
        <f t="shared" si="211"/>
        <v>#REF!</v>
      </c>
      <c r="Y286" s="14" t="e">
        <f t="shared" si="212"/>
        <v>#REF!</v>
      </c>
      <c r="Z286" s="14" t="e">
        <f t="shared" si="213"/>
        <v>#REF!</v>
      </c>
      <c r="AA286" s="14" t="e">
        <f t="shared" si="214"/>
        <v>#REF!</v>
      </c>
    </row>
    <row r="287" spans="1:27" s="3" customFormat="1" x14ac:dyDescent="0.2">
      <c r="A287" s="4"/>
      <c r="B287" s="9">
        <v>44</v>
      </c>
      <c r="C287" s="9" t="s">
        <v>38</v>
      </c>
      <c r="D287" s="10" t="s">
        <v>14</v>
      </c>
      <c r="E287" s="20" t="s">
        <v>18</v>
      </c>
      <c r="F287" s="10" t="str">
        <f t="shared" si="183"/>
        <v>44HPECONOMY</v>
      </c>
      <c r="G287" s="14">
        <v>66.52</v>
      </c>
      <c r="H287" s="14">
        <v>66.52</v>
      </c>
      <c r="I287" s="14">
        <v>66.52</v>
      </c>
      <c r="J287" s="14">
        <v>66.52</v>
      </c>
      <c r="K287" s="14">
        <v>66.52</v>
      </c>
      <c r="M287" s="14">
        <f t="shared" si="184"/>
        <v>9.76</v>
      </c>
      <c r="O287" s="14" t="e">
        <f>#REF!</f>
        <v>#REF!</v>
      </c>
      <c r="P287" s="22" t="e">
        <f t="shared" ref="P287:S287" si="223">O287</f>
        <v>#REF!</v>
      </c>
      <c r="Q287" s="22" t="e">
        <f t="shared" si="223"/>
        <v>#REF!</v>
      </c>
      <c r="R287" s="22" t="e">
        <f t="shared" si="223"/>
        <v>#REF!</v>
      </c>
      <c r="S287" s="22" t="e">
        <f t="shared" si="223"/>
        <v>#REF!</v>
      </c>
      <c r="U287" s="14" t="e">
        <f>#REF!</f>
        <v>#REF!</v>
      </c>
      <c r="W287" s="14" t="e">
        <f t="shared" si="210"/>
        <v>#REF!</v>
      </c>
      <c r="X287" s="14" t="e">
        <f t="shared" si="211"/>
        <v>#REF!</v>
      </c>
      <c r="Y287" s="14" t="e">
        <f t="shared" si="212"/>
        <v>#REF!</v>
      </c>
      <c r="Z287" s="14" t="e">
        <f t="shared" si="213"/>
        <v>#REF!</v>
      </c>
      <c r="AA287" s="14" t="e">
        <f t="shared" si="214"/>
        <v>#REF!</v>
      </c>
    </row>
    <row r="288" spans="1:27" s="3" customFormat="1" x14ac:dyDescent="0.2">
      <c r="A288" s="4"/>
      <c r="B288" s="9">
        <v>45</v>
      </c>
      <c r="C288" s="9" t="s">
        <v>38</v>
      </c>
      <c r="D288" s="10" t="s">
        <v>14</v>
      </c>
      <c r="E288" s="20" t="s">
        <v>18</v>
      </c>
      <c r="F288" s="10" t="str">
        <f t="shared" si="183"/>
        <v>45HPECONOMY</v>
      </c>
      <c r="G288" s="14">
        <v>69.069999999999993</v>
      </c>
      <c r="H288" s="14">
        <v>69.069999999999993</v>
      </c>
      <c r="I288" s="14">
        <v>69.069999999999993</v>
      </c>
      <c r="J288" s="14">
        <v>69.069999999999993</v>
      </c>
      <c r="K288" s="14">
        <v>69.069999999999993</v>
      </c>
      <c r="M288" s="14">
        <f t="shared" si="184"/>
        <v>9.76</v>
      </c>
      <c r="O288" s="14" t="e">
        <f>#REF!</f>
        <v>#REF!</v>
      </c>
      <c r="P288" s="22" t="e">
        <f t="shared" ref="P288:S288" si="224">O288</f>
        <v>#REF!</v>
      </c>
      <c r="Q288" s="22" t="e">
        <f t="shared" si="224"/>
        <v>#REF!</v>
      </c>
      <c r="R288" s="22" t="e">
        <f t="shared" si="224"/>
        <v>#REF!</v>
      </c>
      <c r="S288" s="22" t="e">
        <f t="shared" si="224"/>
        <v>#REF!</v>
      </c>
      <c r="U288" s="14" t="e">
        <f>#REF!</f>
        <v>#REF!</v>
      </c>
      <c r="W288" s="14" t="e">
        <f t="shared" si="210"/>
        <v>#REF!</v>
      </c>
      <c r="X288" s="14" t="e">
        <f t="shared" si="211"/>
        <v>#REF!</v>
      </c>
      <c r="Y288" s="14" t="e">
        <f t="shared" si="212"/>
        <v>#REF!</v>
      </c>
      <c r="Z288" s="14" t="e">
        <f t="shared" si="213"/>
        <v>#REF!</v>
      </c>
      <c r="AA288" s="14" t="e">
        <f t="shared" si="214"/>
        <v>#REF!</v>
      </c>
    </row>
    <row r="289" spans="1:27" x14ac:dyDescent="0.2">
      <c r="B289" s="9">
        <v>51</v>
      </c>
      <c r="C289" s="9" t="s">
        <v>39</v>
      </c>
      <c r="D289" s="10" t="s">
        <v>14</v>
      </c>
      <c r="E289" s="20" t="s">
        <v>18</v>
      </c>
      <c r="F289" s="10" t="str">
        <f t="shared" si="183"/>
        <v>51HPECONOMY</v>
      </c>
      <c r="G289" s="18">
        <v>12.95</v>
      </c>
      <c r="H289" s="18">
        <v>12.95</v>
      </c>
      <c r="I289" s="18">
        <v>12.95</v>
      </c>
      <c r="J289" s="18">
        <v>12.95</v>
      </c>
      <c r="K289" s="18">
        <v>12.95</v>
      </c>
      <c r="M289" s="18">
        <f t="shared" si="184"/>
        <v>9.76</v>
      </c>
      <c r="O289" s="18" t="e">
        <f>#REF!</f>
        <v>#REF!</v>
      </c>
      <c r="P289" s="22" t="e">
        <f t="shared" ref="P289:S289" si="225">O289</f>
        <v>#REF!</v>
      </c>
      <c r="Q289" s="22" t="e">
        <f t="shared" si="225"/>
        <v>#REF!</v>
      </c>
      <c r="R289" s="22" t="e">
        <f t="shared" si="225"/>
        <v>#REF!</v>
      </c>
      <c r="S289" s="22" t="e">
        <f t="shared" si="225"/>
        <v>#REF!</v>
      </c>
      <c r="U289" s="18" t="e">
        <f>#REF!</f>
        <v>#REF!</v>
      </c>
      <c r="W289" s="18" t="e">
        <f t="shared" si="210"/>
        <v>#REF!</v>
      </c>
      <c r="X289" s="18" t="e">
        <f t="shared" si="211"/>
        <v>#REF!</v>
      </c>
      <c r="Y289" s="18" t="e">
        <f t="shared" si="212"/>
        <v>#REF!</v>
      </c>
      <c r="Z289" s="18" t="e">
        <f t="shared" si="213"/>
        <v>#REF!</v>
      </c>
      <c r="AA289" s="18" t="e">
        <f t="shared" si="214"/>
        <v>#REF!</v>
      </c>
    </row>
    <row r="290" spans="1:27" x14ac:dyDescent="0.2">
      <c r="B290" s="9">
        <v>52</v>
      </c>
      <c r="C290" s="9" t="s">
        <v>39</v>
      </c>
      <c r="D290" s="10" t="s">
        <v>14</v>
      </c>
      <c r="E290" s="20" t="s">
        <v>18</v>
      </c>
      <c r="F290" s="10" t="str">
        <f t="shared" si="183"/>
        <v>52HPECONOMY</v>
      </c>
      <c r="G290" s="18">
        <v>15.55</v>
      </c>
      <c r="H290" s="18">
        <v>15.55</v>
      </c>
      <c r="I290" s="18">
        <v>15.55</v>
      </c>
      <c r="J290" s="18">
        <v>15.55</v>
      </c>
      <c r="K290" s="18">
        <v>15.55</v>
      </c>
      <c r="M290" s="18">
        <f t="shared" si="184"/>
        <v>9.76</v>
      </c>
      <c r="O290" s="18" t="e">
        <f>#REF!</f>
        <v>#REF!</v>
      </c>
      <c r="P290" s="22" t="e">
        <f t="shared" ref="P290:S290" si="226">O290</f>
        <v>#REF!</v>
      </c>
      <c r="Q290" s="22" t="e">
        <f t="shared" si="226"/>
        <v>#REF!</v>
      </c>
      <c r="R290" s="22" t="e">
        <f t="shared" si="226"/>
        <v>#REF!</v>
      </c>
      <c r="S290" s="22" t="e">
        <f t="shared" si="226"/>
        <v>#REF!</v>
      </c>
      <c r="U290" s="18" t="e">
        <f>#REF!</f>
        <v>#REF!</v>
      </c>
      <c r="W290" s="18" t="e">
        <f t="shared" si="210"/>
        <v>#REF!</v>
      </c>
      <c r="X290" s="18" t="e">
        <f t="shared" si="211"/>
        <v>#REF!</v>
      </c>
      <c r="Y290" s="18" t="e">
        <f t="shared" si="212"/>
        <v>#REF!</v>
      </c>
      <c r="Z290" s="18" t="e">
        <f t="shared" si="213"/>
        <v>#REF!</v>
      </c>
      <c r="AA290" s="18" t="e">
        <f t="shared" si="214"/>
        <v>#REF!</v>
      </c>
    </row>
    <row r="291" spans="1:27" x14ac:dyDescent="0.2">
      <c r="B291" s="9">
        <v>53</v>
      </c>
      <c r="C291" s="9" t="s">
        <v>39</v>
      </c>
      <c r="D291" s="10" t="s">
        <v>14</v>
      </c>
      <c r="E291" s="20" t="s">
        <v>18</v>
      </c>
      <c r="F291" s="10" t="str">
        <f t="shared" si="183"/>
        <v>53HPECONOMY</v>
      </c>
      <c r="G291" s="18">
        <v>17.95</v>
      </c>
      <c r="H291" s="18">
        <v>17.95</v>
      </c>
      <c r="I291" s="18">
        <v>17.95</v>
      </c>
      <c r="J291" s="18">
        <v>17.95</v>
      </c>
      <c r="K291" s="18">
        <v>17.95</v>
      </c>
      <c r="M291" s="18">
        <f t="shared" si="184"/>
        <v>9.76</v>
      </c>
      <c r="O291" s="18" t="e">
        <f>#REF!</f>
        <v>#REF!</v>
      </c>
      <c r="P291" s="22" t="e">
        <f t="shared" ref="P291:S291" si="227">O291</f>
        <v>#REF!</v>
      </c>
      <c r="Q291" s="22" t="e">
        <f t="shared" si="227"/>
        <v>#REF!</v>
      </c>
      <c r="R291" s="22" t="e">
        <f t="shared" si="227"/>
        <v>#REF!</v>
      </c>
      <c r="S291" s="22" t="e">
        <f t="shared" si="227"/>
        <v>#REF!</v>
      </c>
      <c r="U291" s="18" t="e">
        <f>#REF!</f>
        <v>#REF!</v>
      </c>
      <c r="W291" s="18" t="e">
        <f t="shared" si="210"/>
        <v>#REF!</v>
      </c>
      <c r="X291" s="18" t="e">
        <f t="shared" si="211"/>
        <v>#REF!</v>
      </c>
      <c r="Y291" s="18" t="e">
        <f t="shared" si="212"/>
        <v>#REF!</v>
      </c>
      <c r="Z291" s="18" t="e">
        <f t="shared" si="213"/>
        <v>#REF!</v>
      </c>
      <c r="AA291" s="18" t="e">
        <f t="shared" si="214"/>
        <v>#REF!</v>
      </c>
    </row>
    <row r="292" spans="1:27" x14ac:dyDescent="0.2">
      <c r="B292" s="9">
        <v>54</v>
      </c>
      <c r="C292" s="9" t="s">
        <v>39</v>
      </c>
      <c r="D292" s="10" t="s">
        <v>14</v>
      </c>
      <c r="E292" s="20" t="s">
        <v>18</v>
      </c>
      <c r="F292" s="10" t="str">
        <f t="shared" si="183"/>
        <v>54HPECONOMY</v>
      </c>
      <c r="G292" s="18">
        <v>18.7</v>
      </c>
      <c r="H292" s="18">
        <v>18.7</v>
      </c>
      <c r="I292" s="18">
        <v>18.7</v>
      </c>
      <c r="J292" s="18">
        <v>18.7</v>
      </c>
      <c r="K292" s="18">
        <v>18.7</v>
      </c>
      <c r="M292" s="18">
        <f t="shared" si="184"/>
        <v>9.76</v>
      </c>
      <c r="O292" s="18" t="e">
        <f>#REF!</f>
        <v>#REF!</v>
      </c>
      <c r="P292" s="22" t="e">
        <f t="shared" ref="P292:S292" si="228">O292</f>
        <v>#REF!</v>
      </c>
      <c r="Q292" s="22" t="e">
        <f t="shared" si="228"/>
        <v>#REF!</v>
      </c>
      <c r="R292" s="22" t="e">
        <f t="shared" si="228"/>
        <v>#REF!</v>
      </c>
      <c r="S292" s="22" t="e">
        <f t="shared" si="228"/>
        <v>#REF!</v>
      </c>
      <c r="U292" s="18" t="e">
        <f>#REF!</f>
        <v>#REF!</v>
      </c>
      <c r="W292" s="18" t="e">
        <f t="shared" si="210"/>
        <v>#REF!</v>
      </c>
      <c r="X292" s="18" t="e">
        <f t="shared" si="211"/>
        <v>#REF!</v>
      </c>
      <c r="Y292" s="18" t="e">
        <f t="shared" si="212"/>
        <v>#REF!</v>
      </c>
      <c r="Z292" s="18" t="e">
        <f t="shared" si="213"/>
        <v>#REF!</v>
      </c>
      <c r="AA292" s="18" t="e">
        <f t="shared" si="214"/>
        <v>#REF!</v>
      </c>
    </row>
    <row r="293" spans="1:27" s="3" customFormat="1" x14ac:dyDescent="0.2">
      <c r="A293" s="4"/>
      <c r="B293" s="9">
        <v>1</v>
      </c>
      <c r="C293" s="9" t="s">
        <v>36</v>
      </c>
      <c r="D293" s="10" t="s">
        <v>23</v>
      </c>
      <c r="E293" s="19" t="s">
        <v>12</v>
      </c>
      <c r="F293" s="10" t="str">
        <f t="shared" si="183"/>
        <v>1SELPREMIUM</v>
      </c>
      <c r="G293" s="11">
        <v>17.067149999999998</v>
      </c>
      <c r="H293" s="11">
        <v>17.067149999999998</v>
      </c>
      <c r="I293" s="11">
        <v>17.067149999999998</v>
      </c>
      <c r="J293" s="11">
        <v>17.067149999999998</v>
      </c>
      <c r="K293" s="11">
        <v>17.067149999999998</v>
      </c>
      <c r="M293" s="11">
        <f t="shared" si="184"/>
        <v>11.61</v>
      </c>
      <c r="O293" s="11" t="e">
        <f>#REF!</f>
        <v>#REF!</v>
      </c>
      <c r="P293" s="22" t="e">
        <f t="shared" ref="P293:S293" si="229">O293</f>
        <v>#REF!</v>
      </c>
      <c r="Q293" s="22" t="e">
        <f t="shared" si="229"/>
        <v>#REF!</v>
      </c>
      <c r="R293" s="22" t="e">
        <f t="shared" si="229"/>
        <v>#REF!</v>
      </c>
      <c r="S293" s="22" t="e">
        <f t="shared" si="229"/>
        <v>#REF!</v>
      </c>
      <c r="U293" s="11" t="e">
        <f>#REF!</f>
        <v>#REF!</v>
      </c>
      <c r="W293" s="11" t="e">
        <f t="shared" si="210"/>
        <v>#REF!</v>
      </c>
      <c r="X293" s="11" t="e">
        <f t="shared" si="211"/>
        <v>#REF!</v>
      </c>
      <c r="Y293" s="11" t="e">
        <f t="shared" si="212"/>
        <v>#REF!</v>
      </c>
      <c r="Z293" s="11" t="e">
        <f t="shared" si="213"/>
        <v>#REF!</v>
      </c>
      <c r="AA293" s="11" t="e">
        <f t="shared" si="214"/>
        <v>#REF!</v>
      </c>
    </row>
    <row r="294" spans="1:27" s="3" customFormat="1" x14ac:dyDescent="0.2">
      <c r="A294" s="4"/>
      <c r="B294" s="9">
        <v>2</v>
      </c>
      <c r="C294" s="9" t="s">
        <v>36</v>
      </c>
      <c r="D294" s="10" t="s">
        <v>23</v>
      </c>
      <c r="E294" s="19" t="s">
        <v>12</v>
      </c>
      <c r="F294" s="10" t="str">
        <f t="shared" si="183"/>
        <v>2SELPREMIUM</v>
      </c>
      <c r="G294" s="11">
        <v>18.236699999999999</v>
      </c>
      <c r="H294" s="11">
        <v>18.236699999999999</v>
      </c>
      <c r="I294" s="11">
        <v>18.236699999999999</v>
      </c>
      <c r="J294" s="11">
        <v>18.236699999999999</v>
      </c>
      <c r="K294" s="11">
        <v>18.236699999999999</v>
      </c>
      <c r="M294" s="11">
        <f t="shared" si="184"/>
        <v>11.61</v>
      </c>
      <c r="O294" s="11" t="e">
        <f>#REF!</f>
        <v>#REF!</v>
      </c>
      <c r="P294" s="22" t="e">
        <f t="shared" ref="P294:S294" si="230">O294</f>
        <v>#REF!</v>
      </c>
      <c r="Q294" s="22" t="e">
        <f t="shared" si="230"/>
        <v>#REF!</v>
      </c>
      <c r="R294" s="22" t="e">
        <f t="shared" si="230"/>
        <v>#REF!</v>
      </c>
      <c r="S294" s="22" t="e">
        <f t="shared" si="230"/>
        <v>#REF!</v>
      </c>
      <c r="U294" s="11" t="e">
        <f>#REF!</f>
        <v>#REF!</v>
      </c>
      <c r="W294" s="11" t="e">
        <f t="shared" si="210"/>
        <v>#REF!</v>
      </c>
      <c r="X294" s="11" t="e">
        <f t="shared" si="211"/>
        <v>#REF!</v>
      </c>
      <c r="Y294" s="11" t="e">
        <f t="shared" si="212"/>
        <v>#REF!</v>
      </c>
      <c r="Z294" s="11" t="e">
        <f t="shared" si="213"/>
        <v>#REF!</v>
      </c>
      <c r="AA294" s="11" t="e">
        <f t="shared" si="214"/>
        <v>#REF!</v>
      </c>
    </row>
    <row r="295" spans="1:27" s="3" customFormat="1" x14ac:dyDescent="0.2">
      <c r="A295" s="4"/>
      <c r="B295" s="9">
        <v>3</v>
      </c>
      <c r="C295" s="9" t="s">
        <v>36</v>
      </c>
      <c r="D295" s="10" t="s">
        <v>23</v>
      </c>
      <c r="E295" s="19" t="s">
        <v>12</v>
      </c>
      <c r="F295" s="10" t="str">
        <f t="shared" si="183"/>
        <v>3SELPREMIUM</v>
      </c>
      <c r="G295" s="11">
        <v>20.099699999999999</v>
      </c>
      <c r="H295" s="11">
        <v>20.099699999999999</v>
      </c>
      <c r="I295" s="11">
        <v>20.099699999999999</v>
      </c>
      <c r="J295" s="11">
        <v>20.099699999999999</v>
      </c>
      <c r="K295" s="11">
        <v>20.099699999999999</v>
      </c>
      <c r="M295" s="11">
        <f t="shared" si="184"/>
        <v>11.61</v>
      </c>
      <c r="O295" s="11" t="e">
        <f>#REF!</f>
        <v>#REF!</v>
      </c>
      <c r="P295" s="22" t="e">
        <f t="shared" ref="P295:S295" si="231">O295</f>
        <v>#REF!</v>
      </c>
      <c r="Q295" s="22" t="e">
        <f t="shared" si="231"/>
        <v>#REF!</v>
      </c>
      <c r="R295" s="22" t="e">
        <f t="shared" si="231"/>
        <v>#REF!</v>
      </c>
      <c r="S295" s="22" t="e">
        <f t="shared" si="231"/>
        <v>#REF!</v>
      </c>
      <c r="U295" s="11" t="e">
        <f>#REF!</f>
        <v>#REF!</v>
      </c>
      <c r="W295" s="11" t="e">
        <f t="shared" si="210"/>
        <v>#REF!</v>
      </c>
      <c r="X295" s="11" t="e">
        <f t="shared" si="211"/>
        <v>#REF!</v>
      </c>
      <c r="Y295" s="11" t="e">
        <f t="shared" si="212"/>
        <v>#REF!</v>
      </c>
      <c r="Z295" s="11" t="e">
        <f t="shared" si="213"/>
        <v>#REF!</v>
      </c>
      <c r="AA295" s="11" t="e">
        <f t="shared" si="214"/>
        <v>#REF!</v>
      </c>
    </row>
    <row r="296" spans="1:27" s="3" customFormat="1" x14ac:dyDescent="0.2">
      <c r="A296" s="4"/>
      <c r="B296" s="9">
        <v>4</v>
      </c>
      <c r="C296" s="9" t="s">
        <v>36</v>
      </c>
      <c r="D296" s="10" t="s">
        <v>23</v>
      </c>
      <c r="E296" s="19" t="s">
        <v>12</v>
      </c>
      <c r="F296" s="10" t="str">
        <f t="shared" si="183"/>
        <v>4SELPREMIUM</v>
      </c>
      <c r="G296" s="11">
        <v>23.132249999999999</v>
      </c>
      <c r="H296" s="11">
        <v>23.132249999999999</v>
      </c>
      <c r="I296" s="11">
        <v>23.132249999999999</v>
      </c>
      <c r="J296" s="11">
        <v>23.132249999999999</v>
      </c>
      <c r="K296" s="11">
        <v>23.132249999999999</v>
      </c>
      <c r="M296" s="11">
        <f t="shared" si="184"/>
        <v>11.61</v>
      </c>
      <c r="O296" s="11" t="e">
        <f>#REF!</f>
        <v>#REF!</v>
      </c>
      <c r="P296" s="22" t="e">
        <f t="shared" ref="P296:S296" si="232">O296</f>
        <v>#REF!</v>
      </c>
      <c r="Q296" s="22" t="e">
        <f t="shared" si="232"/>
        <v>#REF!</v>
      </c>
      <c r="R296" s="22" t="e">
        <f t="shared" si="232"/>
        <v>#REF!</v>
      </c>
      <c r="S296" s="22" t="e">
        <f t="shared" si="232"/>
        <v>#REF!</v>
      </c>
      <c r="U296" s="11" t="e">
        <f>#REF!</f>
        <v>#REF!</v>
      </c>
      <c r="W296" s="11" t="e">
        <f t="shared" si="210"/>
        <v>#REF!</v>
      </c>
      <c r="X296" s="11" t="e">
        <f t="shared" si="211"/>
        <v>#REF!</v>
      </c>
      <c r="Y296" s="11" t="e">
        <f t="shared" si="212"/>
        <v>#REF!</v>
      </c>
      <c r="Z296" s="11" t="e">
        <f t="shared" si="213"/>
        <v>#REF!</v>
      </c>
      <c r="AA296" s="11" t="e">
        <f t="shared" si="214"/>
        <v>#REF!</v>
      </c>
    </row>
    <row r="297" spans="1:27" s="3" customFormat="1" x14ac:dyDescent="0.2">
      <c r="A297" s="4"/>
      <c r="B297" s="9">
        <v>5</v>
      </c>
      <c r="C297" s="9" t="s">
        <v>36</v>
      </c>
      <c r="D297" s="10" t="s">
        <v>23</v>
      </c>
      <c r="E297" s="19" t="s">
        <v>12</v>
      </c>
      <c r="F297" s="10" t="str">
        <f t="shared" si="183"/>
        <v>5SELPREMIUM</v>
      </c>
      <c r="G297" s="11">
        <v>25.595549999999999</v>
      </c>
      <c r="H297" s="11">
        <v>25.595549999999999</v>
      </c>
      <c r="I297" s="11">
        <v>25.595549999999999</v>
      </c>
      <c r="J297" s="11">
        <v>25.595549999999999</v>
      </c>
      <c r="K297" s="11">
        <v>25.595549999999999</v>
      </c>
      <c r="M297" s="11">
        <f t="shared" si="184"/>
        <v>11.61</v>
      </c>
      <c r="O297" s="11" t="e">
        <f>#REF!</f>
        <v>#REF!</v>
      </c>
      <c r="P297" s="22" t="e">
        <f t="shared" ref="P297:S297" si="233">O297</f>
        <v>#REF!</v>
      </c>
      <c r="Q297" s="22" t="e">
        <f t="shared" si="233"/>
        <v>#REF!</v>
      </c>
      <c r="R297" s="22" t="e">
        <f t="shared" si="233"/>
        <v>#REF!</v>
      </c>
      <c r="S297" s="22" t="e">
        <f t="shared" si="233"/>
        <v>#REF!</v>
      </c>
      <c r="U297" s="11" t="e">
        <f>#REF!</f>
        <v>#REF!</v>
      </c>
      <c r="W297" s="11" t="e">
        <f t="shared" si="210"/>
        <v>#REF!</v>
      </c>
      <c r="X297" s="11" t="e">
        <f t="shared" si="211"/>
        <v>#REF!</v>
      </c>
      <c r="Y297" s="11" t="e">
        <f t="shared" si="212"/>
        <v>#REF!</v>
      </c>
      <c r="Z297" s="11" t="e">
        <f t="shared" si="213"/>
        <v>#REF!</v>
      </c>
      <c r="AA297" s="11" t="e">
        <f t="shared" si="214"/>
        <v>#REF!</v>
      </c>
    </row>
    <row r="298" spans="1:27" s="3" customFormat="1" x14ac:dyDescent="0.2">
      <c r="A298" s="4"/>
      <c r="B298" s="9">
        <v>6</v>
      </c>
      <c r="C298" s="9" t="s">
        <v>36</v>
      </c>
      <c r="D298" s="10" t="s">
        <v>23</v>
      </c>
      <c r="E298" s="19" t="s">
        <v>12</v>
      </c>
      <c r="F298" s="10" t="str">
        <f t="shared" si="183"/>
        <v>6SELPREMIUM</v>
      </c>
      <c r="G298" s="11">
        <v>29.735549999999996</v>
      </c>
      <c r="H298" s="11">
        <v>29.735549999999996</v>
      </c>
      <c r="I298" s="11">
        <v>29.735549999999996</v>
      </c>
      <c r="J298" s="11">
        <v>29.735549999999996</v>
      </c>
      <c r="K298" s="11">
        <v>29.735549999999996</v>
      </c>
      <c r="M298" s="11">
        <f t="shared" si="184"/>
        <v>11.61</v>
      </c>
      <c r="O298" s="11" t="e">
        <f>#REF!</f>
        <v>#REF!</v>
      </c>
      <c r="P298" s="22" t="e">
        <f t="shared" ref="P298:S298" si="234">O298</f>
        <v>#REF!</v>
      </c>
      <c r="Q298" s="22" t="e">
        <f t="shared" si="234"/>
        <v>#REF!</v>
      </c>
      <c r="R298" s="22" t="e">
        <f t="shared" si="234"/>
        <v>#REF!</v>
      </c>
      <c r="S298" s="22" t="e">
        <f t="shared" si="234"/>
        <v>#REF!</v>
      </c>
      <c r="U298" s="11" t="e">
        <f>#REF!</f>
        <v>#REF!</v>
      </c>
      <c r="W298" s="11" t="e">
        <f t="shared" si="210"/>
        <v>#REF!</v>
      </c>
      <c r="X298" s="11" t="e">
        <f t="shared" si="211"/>
        <v>#REF!</v>
      </c>
      <c r="Y298" s="11" t="e">
        <f t="shared" si="212"/>
        <v>#REF!</v>
      </c>
      <c r="Z298" s="11" t="e">
        <f t="shared" si="213"/>
        <v>#REF!</v>
      </c>
      <c r="AA298" s="11" t="e">
        <f t="shared" si="214"/>
        <v>#REF!</v>
      </c>
    </row>
    <row r="299" spans="1:27" s="3" customFormat="1" x14ac:dyDescent="0.2">
      <c r="A299" s="4"/>
      <c r="B299" s="9">
        <v>7</v>
      </c>
      <c r="C299" s="9" t="s">
        <v>36</v>
      </c>
      <c r="D299" s="10" t="s">
        <v>23</v>
      </c>
      <c r="E299" s="19" t="s">
        <v>12</v>
      </c>
      <c r="F299" s="10" t="str">
        <f t="shared" si="183"/>
        <v>7SELPREMIUM</v>
      </c>
      <c r="G299" s="11">
        <v>33.616799999999991</v>
      </c>
      <c r="H299" s="11">
        <v>33.616799999999991</v>
      </c>
      <c r="I299" s="11">
        <v>33.616799999999991</v>
      </c>
      <c r="J299" s="11">
        <v>33.616799999999991</v>
      </c>
      <c r="K299" s="11">
        <v>33.616799999999991</v>
      </c>
      <c r="M299" s="11">
        <f t="shared" si="184"/>
        <v>11.61</v>
      </c>
      <c r="O299" s="11" t="e">
        <f>#REF!</f>
        <v>#REF!</v>
      </c>
      <c r="P299" s="22" t="e">
        <f t="shared" ref="P299:S299" si="235">O299</f>
        <v>#REF!</v>
      </c>
      <c r="Q299" s="22" t="e">
        <f t="shared" si="235"/>
        <v>#REF!</v>
      </c>
      <c r="R299" s="22" t="e">
        <f t="shared" si="235"/>
        <v>#REF!</v>
      </c>
      <c r="S299" s="22" t="e">
        <f t="shared" si="235"/>
        <v>#REF!</v>
      </c>
      <c r="U299" s="11" t="e">
        <f>#REF!</f>
        <v>#REF!</v>
      </c>
      <c r="W299" s="11" t="e">
        <f t="shared" si="210"/>
        <v>#REF!</v>
      </c>
      <c r="X299" s="11" t="e">
        <f t="shared" si="211"/>
        <v>#REF!</v>
      </c>
      <c r="Y299" s="11" t="e">
        <f t="shared" si="212"/>
        <v>#REF!</v>
      </c>
      <c r="Z299" s="11" t="e">
        <f t="shared" si="213"/>
        <v>#REF!</v>
      </c>
      <c r="AA299" s="11" t="e">
        <f t="shared" si="214"/>
        <v>#REF!</v>
      </c>
    </row>
    <row r="300" spans="1:27" s="3" customFormat="1" x14ac:dyDescent="0.2">
      <c r="A300" s="4"/>
      <c r="B300" s="9">
        <v>8</v>
      </c>
      <c r="C300" s="9" t="s">
        <v>36</v>
      </c>
      <c r="D300" s="10" t="s">
        <v>23</v>
      </c>
      <c r="E300" s="19" t="s">
        <v>12</v>
      </c>
      <c r="F300" s="10" t="str">
        <f t="shared" si="183"/>
        <v>8SELPREMIUM</v>
      </c>
      <c r="G300" s="11">
        <v>47.796299999999995</v>
      </c>
      <c r="H300" s="11">
        <v>47.796299999999995</v>
      </c>
      <c r="I300" s="11">
        <v>47.796299999999995</v>
      </c>
      <c r="J300" s="11">
        <v>47.796299999999995</v>
      </c>
      <c r="K300" s="11">
        <v>47.796299999999995</v>
      </c>
      <c r="M300" s="11">
        <f t="shared" si="184"/>
        <v>11.61</v>
      </c>
      <c r="O300" s="11" t="e">
        <f>#REF!</f>
        <v>#REF!</v>
      </c>
      <c r="P300" s="22" t="e">
        <f t="shared" ref="P300:S300" si="236">O300</f>
        <v>#REF!</v>
      </c>
      <c r="Q300" s="22" t="e">
        <f t="shared" si="236"/>
        <v>#REF!</v>
      </c>
      <c r="R300" s="22" t="e">
        <f t="shared" si="236"/>
        <v>#REF!</v>
      </c>
      <c r="S300" s="22" t="e">
        <f t="shared" si="236"/>
        <v>#REF!</v>
      </c>
      <c r="U300" s="11" t="e">
        <f>#REF!</f>
        <v>#REF!</v>
      </c>
      <c r="W300" s="11" t="e">
        <f t="shared" si="210"/>
        <v>#REF!</v>
      </c>
      <c r="X300" s="11" t="e">
        <f t="shared" si="211"/>
        <v>#REF!</v>
      </c>
      <c r="Y300" s="11" t="e">
        <f t="shared" si="212"/>
        <v>#REF!</v>
      </c>
      <c r="Z300" s="11" t="e">
        <f t="shared" si="213"/>
        <v>#REF!</v>
      </c>
      <c r="AA300" s="11" t="e">
        <f t="shared" si="214"/>
        <v>#REF!</v>
      </c>
    </row>
    <row r="301" spans="1:27" s="3" customFormat="1" x14ac:dyDescent="0.2">
      <c r="A301" s="4"/>
      <c r="B301" s="9">
        <v>9</v>
      </c>
      <c r="C301" s="9" t="s">
        <v>36</v>
      </c>
      <c r="D301" s="10" t="s">
        <v>23</v>
      </c>
      <c r="E301" s="19" t="s">
        <v>12</v>
      </c>
      <c r="F301" s="10" t="str">
        <f t="shared" si="183"/>
        <v>9SELPREMIUM</v>
      </c>
      <c r="G301" s="11">
        <v>79.581149999999994</v>
      </c>
      <c r="H301" s="11">
        <v>79.581149999999994</v>
      </c>
      <c r="I301" s="11">
        <v>79.581149999999994</v>
      </c>
      <c r="J301" s="11">
        <v>79.581149999999994</v>
      </c>
      <c r="K301" s="11">
        <v>79.581149999999994</v>
      </c>
      <c r="M301" s="11">
        <f t="shared" si="184"/>
        <v>11.61</v>
      </c>
      <c r="O301" s="11" t="e">
        <f>#REF!</f>
        <v>#REF!</v>
      </c>
      <c r="P301" s="22" t="e">
        <f t="shared" ref="P301:S301" si="237">O301</f>
        <v>#REF!</v>
      </c>
      <c r="Q301" s="22" t="e">
        <f t="shared" si="237"/>
        <v>#REF!</v>
      </c>
      <c r="R301" s="22" t="e">
        <f t="shared" si="237"/>
        <v>#REF!</v>
      </c>
      <c r="S301" s="22" t="e">
        <f t="shared" si="237"/>
        <v>#REF!</v>
      </c>
      <c r="U301" s="11" t="e">
        <f>#REF!</f>
        <v>#REF!</v>
      </c>
      <c r="W301" s="11" t="e">
        <f t="shared" si="210"/>
        <v>#REF!</v>
      </c>
      <c r="X301" s="11" t="e">
        <f t="shared" si="211"/>
        <v>#REF!</v>
      </c>
      <c r="Y301" s="11" t="e">
        <f t="shared" si="212"/>
        <v>#REF!</v>
      </c>
      <c r="Z301" s="11" t="e">
        <f t="shared" si="213"/>
        <v>#REF!</v>
      </c>
      <c r="AA301" s="11" t="e">
        <f t="shared" si="214"/>
        <v>#REF!</v>
      </c>
    </row>
    <row r="302" spans="1:27" s="3" customFormat="1" x14ac:dyDescent="0.2">
      <c r="A302" s="4"/>
      <c r="B302" s="9">
        <v>10</v>
      </c>
      <c r="C302" s="9" t="s">
        <v>36</v>
      </c>
      <c r="D302" s="10" t="s">
        <v>23</v>
      </c>
      <c r="E302" s="19" t="s">
        <v>12</v>
      </c>
      <c r="F302" s="10" t="str">
        <f t="shared" si="183"/>
        <v>10SELPREMIUM</v>
      </c>
      <c r="G302" s="11">
        <v>82.323899999999995</v>
      </c>
      <c r="H302" s="11">
        <v>82.323899999999995</v>
      </c>
      <c r="I302" s="11">
        <v>82.323899999999995</v>
      </c>
      <c r="J302" s="11">
        <v>82.323899999999995</v>
      </c>
      <c r="K302" s="11">
        <v>82.323899999999995</v>
      </c>
      <c r="M302" s="11">
        <f t="shared" si="184"/>
        <v>11.61</v>
      </c>
      <c r="O302" s="11" t="e">
        <f>#REF!</f>
        <v>#REF!</v>
      </c>
      <c r="P302" s="22" t="e">
        <f t="shared" ref="P302:S302" si="238">O302</f>
        <v>#REF!</v>
      </c>
      <c r="Q302" s="22" t="e">
        <f t="shared" si="238"/>
        <v>#REF!</v>
      </c>
      <c r="R302" s="22" t="e">
        <f t="shared" si="238"/>
        <v>#REF!</v>
      </c>
      <c r="S302" s="22" t="e">
        <f t="shared" si="238"/>
        <v>#REF!</v>
      </c>
      <c r="U302" s="11" t="e">
        <f>#REF!</f>
        <v>#REF!</v>
      </c>
      <c r="W302" s="11" t="e">
        <f t="shared" si="210"/>
        <v>#REF!</v>
      </c>
      <c r="X302" s="11" t="e">
        <f t="shared" si="211"/>
        <v>#REF!</v>
      </c>
      <c r="Y302" s="11" t="e">
        <f t="shared" si="212"/>
        <v>#REF!</v>
      </c>
      <c r="Z302" s="11" t="e">
        <f t="shared" si="213"/>
        <v>#REF!</v>
      </c>
      <c r="AA302" s="11" t="e">
        <f t="shared" si="214"/>
        <v>#REF!</v>
      </c>
    </row>
    <row r="303" spans="1:27" s="3" customFormat="1" x14ac:dyDescent="0.2">
      <c r="A303" s="4"/>
      <c r="B303" s="9">
        <v>11</v>
      </c>
      <c r="C303" s="9" t="s">
        <v>36</v>
      </c>
      <c r="D303" s="10" t="s">
        <v>23</v>
      </c>
      <c r="E303" s="19" t="s">
        <v>12</v>
      </c>
      <c r="F303" s="10" t="str">
        <f t="shared" si="183"/>
        <v>11SELPREMIUM</v>
      </c>
      <c r="G303" s="11">
        <v>80.678249999999991</v>
      </c>
      <c r="H303" s="11">
        <v>80.678249999999991</v>
      </c>
      <c r="I303" s="11">
        <v>80.678249999999991</v>
      </c>
      <c r="J303" s="11">
        <v>80.678249999999991</v>
      </c>
      <c r="K303" s="11">
        <v>80.678249999999991</v>
      </c>
      <c r="M303" s="11">
        <f t="shared" si="184"/>
        <v>11.61</v>
      </c>
      <c r="O303" s="11" t="e">
        <f>#REF!</f>
        <v>#REF!</v>
      </c>
      <c r="P303" s="22" t="e">
        <f t="shared" ref="P303:S303" si="239">O303</f>
        <v>#REF!</v>
      </c>
      <c r="Q303" s="22" t="e">
        <f t="shared" si="239"/>
        <v>#REF!</v>
      </c>
      <c r="R303" s="22" t="e">
        <f t="shared" si="239"/>
        <v>#REF!</v>
      </c>
      <c r="S303" s="22" t="e">
        <f t="shared" si="239"/>
        <v>#REF!</v>
      </c>
      <c r="U303" s="11" t="e">
        <f>#REF!</f>
        <v>#REF!</v>
      </c>
      <c r="W303" s="11" t="e">
        <f t="shared" si="210"/>
        <v>#REF!</v>
      </c>
      <c r="X303" s="11" t="e">
        <f t="shared" si="211"/>
        <v>#REF!</v>
      </c>
      <c r="Y303" s="11" t="e">
        <f t="shared" si="212"/>
        <v>#REF!</v>
      </c>
      <c r="Z303" s="11" t="e">
        <f t="shared" si="213"/>
        <v>#REF!</v>
      </c>
      <c r="AA303" s="11" t="e">
        <f t="shared" si="214"/>
        <v>#REF!</v>
      </c>
    </row>
    <row r="304" spans="1:27" s="3" customFormat="1" x14ac:dyDescent="0.2">
      <c r="A304" s="4"/>
      <c r="B304" s="9">
        <v>12</v>
      </c>
      <c r="C304" s="9" t="s">
        <v>36</v>
      </c>
      <c r="D304" s="10" t="s">
        <v>23</v>
      </c>
      <c r="E304" s="19" t="s">
        <v>12</v>
      </c>
      <c r="F304" s="10" t="str">
        <f t="shared" si="183"/>
        <v>12SELPREMIUM</v>
      </c>
      <c r="G304" s="11">
        <v>127.68795</v>
      </c>
      <c r="H304" s="11">
        <v>127.68795</v>
      </c>
      <c r="I304" s="11">
        <v>127.68795</v>
      </c>
      <c r="J304" s="11">
        <v>127.68795</v>
      </c>
      <c r="K304" s="11">
        <v>127.68795</v>
      </c>
      <c r="M304" s="11">
        <f t="shared" si="184"/>
        <v>11.61</v>
      </c>
      <c r="O304" s="11" t="e">
        <f>#REF!</f>
        <v>#REF!</v>
      </c>
      <c r="P304" s="22" t="e">
        <f t="shared" ref="P304:S304" si="240">O304</f>
        <v>#REF!</v>
      </c>
      <c r="Q304" s="22" t="e">
        <f t="shared" si="240"/>
        <v>#REF!</v>
      </c>
      <c r="R304" s="22" t="e">
        <f t="shared" si="240"/>
        <v>#REF!</v>
      </c>
      <c r="S304" s="22" t="e">
        <f t="shared" si="240"/>
        <v>#REF!</v>
      </c>
      <c r="U304" s="11" t="e">
        <f>#REF!</f>
        <v>#REF!</v>
      </c>
      <c r="W304" s="11" t="e">
        <f t="shared" si="210"/>
        <v>#REF!</v>
      </c>
      <c r="X304" s="11" t="e">
        <f t="shared" si="211"/>
        <v>#REF!</v>
      </c>
      <c r="Y304" s="11" t="e">
        <f t="shared" si="212"/>
        <v>#REF!</v>
      </c>
      <c r="Z304" s="11" t="e">
        <f t="shared" si="213"/>
        <v>#REF!</v>
      </c>
      <c r="AA304" s="11" t="e">
        <f t="shared" si="214"/>
        <v>#REF!</v>
      </c>
    </row>
    <row r="305" spans="1:27" s="3" customFormat="1" x14ac:dyDescent="0.2">
      <c r="A305" s="4"/>
      <c r="B305" s="9">
        <v>13</v>
      </c>
      <c r="C305" s="9" t="s">
        <v>36</v>
      </c>
      <c r="D305" s="10" t="s">
        <v>23</v>
      </c>
      <c r="E305" s="19" t="s">
        <v>12</v>
      </c>
      <c r="F305" s="10" t="str">
        <f t="shared" ref="F305:F306" si="241">B305&amp;D305&amp;E305</f>
        <v>13SELPREMIUM</v>
      </c>
      <c r="G305" s="11">
        <v>231.83999999999997</v>
      </c>
      <c r="H305" s="11">
        <v>231.83999999999997</v>
      </c>
      <c r="I305" s="11">
        <v>231.83999999999997</v>
      </c>
      <c r="J305" s="11">
        <v>231.83999999999997</v>
      </c>
      <c r="K305" s="11">
        <v>231.83999999999997</v>
      </c>
      <c r="M305" s="11">
        <f t="shared" si="184"/>
        <v>11.61</v>
      </c>
      <c r="O305" s="11" t="e">
        <f>#REF!</f>
        <v>#REF!</v>
      </c>
      <c r="P305" s="22" t="e">
        <f t="shared" ref="P305:P306" si="242">O305</f>
        <v>#REF!</v>
      </c>
      <c r="Q305" s="22" t="e">
        <f t="shared" ref="Q305:Q306" si="243">P305</f>
        <v>#REF!</v>
      </c>
      <c r="R305" s="22" t="e">
        <f t="shared" ref="R305:R306" si="244">Q305</f>
        <v>#REF!</v>
      </c>
      <c r="S305" s="22" t="e">
        <f t="shared" ref="S305:S306" si="245">R305</f>
        <v>#REF!</v>
      </c>
      <c r="U305" s="11" t="e">
        <f>#REF!</f>
        <v>#REF!</v>
      </c>
      <c r="W305" s="11" t="e">
        <f t="shared" ref="W305:W306" si="246">G305+$M305+O305+$U305</f>
        <v>#REF!</v>
      </c>
      <c r="X305" s="11" t="e">
        <f t="shared" ref="X305:X306" si="247">H305+$M305+P305+$U305</f>
        <v>#REF!</v>
      </c>
      <c r="Y305" s="11" t="e">
        <f t="shared" ref="Y305:Y306" si="248">I305+$M305+Q305+$U305</f>
        <v>#REF!</v>
      </c>
      <c r="Z305" s="11" t="e">
        <f t="shared" ref="Z305:Z306" si="249">J305+$M305+R305+$U305</f>
        <v>#REF!</v>
      </c>
      <c r="AA305" s="11" t="e">
        <f t="shared" ref="AA305:AA306" si="250">K305+$M305+S305+$U305</f>
        <v>#REF!</v>
      </c>
    </row>
    <row r="306" spans="1:27" s="3" customFormat="1" x14ac:dyDescent="0.2">
      <c r="A306" s="4"/>
      <c r="B306" s="9">
        <v>14</v>
      </c>
      <c r="C306" s="9" t="s">
        <v>36</v>
      </c>
      <c r="D306" s="10" t="s">
        <v>23</v>
      </c>
      <c r="E306" s="19" t="s">
        <v>12</v>
      </c>
      <c r="F306" s="10" t="str">
        <f t="shared" si="241"/>
        <v>14SELPREMIUM</v>
      </c>
      <c r="G306" s="11">
        <v>256.68</v>
      </c>
      <c r="H306" s="11">
        <v>256.68</v>
      </c>
      <c r="I306" s="11">
        <v>256.68</v>
      </c>
      <c r="J306" s="11">
        <v>256.68</v>
      </c>
      <c r="K306" s="11">
        <v>256.68</v>
      </c>
      <c r="M306" s="11">
        <f t="shared" si="184"/>
        <v>11.61</v>
      </c>
      <c r="O306" s="11" t="e">
        <f>#REF!</f>
        <v>#REF!</v>
      </c>
      <c r="P306" s="22" t="e">
        <f t="shared" si="242"/>
        <v>#REF!</v>
      </c>
      <c r="Q306" s="22" t="e">
        <f t="shared" si="243"/>
        <v>#REF!</v>
      </c>
      <c r="R306" s="22" t="e">
        <f t="shared" si="244"/>
        <v>#REF!</v>
      </c>
      <c r="S306" s="22" t="e">
        <f t="shared" si="245"/>
        <v>#REF!</v>
      </c>
      <c r="U306" s="11" t="e">
        <f>#REF!</f>
        <v>#REF!</v>
      </c>
      <c r="W306" s="11" t="e">
        <f t="shared" si="246"/>
        <v>#REF!</v>
      </c>
      <c r="X306" s="11" t="e">
        <f t="shared" si="247"/>
        <v>#REF!</v>
      </c>
      <c r="Y306" s="11" t="e">
        <f t="shared" si="248"/>
        <v>#REF!</v>
      </c>
      <c r="Z306" s="11" t="e">
        <f t="shared" si="249"/>
        <v>#REF!</v>
      </c>
      <c r="AA306" s="11" t="e">
        <f t="shared" si="250"/>
        <v>#REF!</v>
      </c>
    </row>
    <row r="307" spans="1:27" s="3" customFormat="1" x14ac:dyDescent="0.2">
      <c r="A307" s="4"/>
      <c r="B307" s="9">
        <v>21</v>
      </c>
      <c r="C307" s="9" t="s">
        <v>37</v>
      </c>
      <c r="D307" s="10" t="s">
        <v>23</v>
      </c>
      <c r="E307" s="19" t="s">
        <v>12</v>
      </c>
      <c r="F307" s="10" t="str">
        <f t="shared" si="183"/>
        <v>21SELPREMIUM</v>
      </c>
      <c r="G307" s="12">
        <v>13.268699999999999</v>
      </c>
      <c r="H307" s="12">
        <v>13.268699999999999</v>
      </c>
      <c r="I307" s="12">
        <v>13.268699999999999</v>
      </c>
      <c r="J307" s="12">
        <v>13.268699999999999</v>
      </c>
      <c r="K307" s="12">
        <v>13.268699999999999</v>
      </c>
      <c r="M307" s="12">
        <f t="shared" si="184"/>
        <v>11.51</v>
      </c>
      <c r="O307" s="12" t="e">
        <f>#REF!</f>
        <v>#REF!</v>
      </c>
      <c r="P307" s="22" t="e">
        <f t="shared" ref="P307:S307" si="251">O307</f>
        <v>#REF!</v>
      </c>
      <c r="Q307" s="22" t="e">
        <f t="shared" si="251"/>
        <v>#REF!</v>
      </c>
      <c r="R307" s="22" t="e">
        <f t="shared" si="251"/>
        <v>#REF!</v>
      </c>
      <c r="S307" s="22" t="e">
        <f t="shared" si="251"/>
        <v>#REF!</v>
      </c>
      <c r="U307" s="12" t="e">
        <f>#REF!</f>
        <v>#REF!</v>
      </c>
      <c r="W307" s="12" t="e">
        <f t="shared" si="210"/>
        <v>#REF!</v>
      </c>
      <c r="X307" s="12" t="e">
        <f t="shared" si="211"/>
        <v>#REF!</v>
      </c>
      <c r="Y307" s="12" t="e">
        <f t="shared" si="212"/>
        <v>#REF!</v>
      </c>
      <c r="Z307" s="12" t="e">
        <f t="shared" si="213"/>
        <v>#REF!</v>
      </c>
      <c r="AA307" s="12" t="e">
        <f t="shared" si="214"/>
        <v>#REF!</v>
      </c>
    </row>
    <row r="308" spans="1:27" s="3" customFormat="1" x14ac:dyDescent="0.2">
      <c r="A308" s="4"/>
      <c r="B308" s="9">
        <v>22</v>
      </c>
      <c r="C308" s="9" t="s">
        <v>37</v>
      </c>
      <c r="D308" s="10" t="s">
        <v>23</v>
      </c>
      <c r="E308" s="19" t="s">
        <v>12</v>
      </c>
      <c r="F308" s="10" t="str">
        <f t="shared" si="183"/>
        <v>22SELPREMIUM</v>
      </c>
      <c r="G308" s="12">
        <v>17.08785</v>
      </c>
      <c r="H308" s="12">
        <v>17.08785</v>
      </c>
      <c r="I308" s="12">
        <v>17.08785</v>
      </c>
      <c r="J308" s="12">
        <v>17.08785</v>
      </c>
      <c r="K308" s="12">
        <v>17.08785</v>
      </c>
      <c r="M308" s="12">
        <f t="shared" si="184"/>
        <v>11.51</v>
      </c>
      <c r="O308" s="12" t="e">
        <f>#REF!</f>
        <v>#REF!</v>
      </c>
      <c r="P308" s="22" t="e">
        <f t="shared" ref="P308:S308" si="252">O308</f>
        <v>#REF!</v>
      </c>
      <c r="Q308" s="22" t="e">
        <f t="shared" si="252"/>
        <v>#REF!</v>
      </c>
      <c r="R308" s="22" t="e">
        <f t="shared" si="252"/>
        <v>#REF!</v>
      </c>
      <c r="S308" s="22" t="e">
        <f t="shared" si="252"/>
        <v>#REF!</v>
      </c>
      <c r="U308" s="12" t="e">
        <f>#REF!</f>
        <v>#REF!</v>
      </c>
      <c r="W308" s="12" t="e">
        <f t="shared" si="210"/>
        <v>#REF!</v>
      </c>
      <c r="X308" s="12" t="e">
        <f t="shared" si="211"/>
        <v>#REF!</v>
      </c>
      <c r="Y308" s="12" t="e">
        <f t="shared" si="212"/>
        <v>#REF!</v>
      </c>
      <c r="Z308" s="12" t="e">
        <f t="shared" si="213"/>
        <v>#REF!</v>
      </c>
      <c r="AA308" s="12" t="e">
        <f t="shared" si="214"/>
        <v>#REF!</v>
      </c>
    </row>
    <row r="309" spans="1:27" s="3" customFormat="1" x14ac:dyDescent="0.2">
      <c r="A309" s="4"/>
      <c r="B309" s="9">
        <v>23</v>
      </c>
      <c r="C309" s="9" t="s">
        <v>37</v>
      </c>
      <c r="D309" s="10" t="s">
        <v>23</v>
      </c>
      <c r="E309" s="19" t="s">
        <v>12</v>
      </c>
      <c r="F309" s="10" t="str">
        <f t="shared" si="183"/>
        <v>23SELPREMIUM</v>
      </c>
      <c r="G309" s="12">
        <v>19.375199999999996</v>
      </c>
      <c r="H309" s="12">
        <v>19.375199999999996</v>
      </c>
      <c r="I309" s="12">
        <v>19.375199999999996</v>
      </c>
      <c r="J309" s="12">
        <v>19.375199999999996</v>
      </c>
      <c r="K309" s="12">
        <v>19.375199999999996</v>
      </c>
      <c r="M309" s="12">
        <f t="shared" si="184"/>
        <v>11.51</v>
      </c>
      <c r="O309" s="12" t="e">
        <f>#REF!</f>
        <v>#REF!</v>
      </c>
      <c r="P309" s="22" t="e">
        <f t="shared" ref="P309:S309" si="253">O309</f>
        <v>#REF!</v>
      </c>
      <c r="Q309" s="22" t="e">
        <f t="shared" si="253"/>
        <v>#REF!</v>
      </c>
      <c r="R309" s="22" t="e">
        <f t="shared" si="253"/>
        <v>#REF!</v>
      </c>
      <c r="S309" s="22" t="e">
        <f t="shared" si="253"/>
        <v>#REF!</v>
      </c>
      <c r="U309" s="12" t="e">
        <f>#REF!</f>
        <v>#REF!</v>
      </c>
      <c r="W309" s="12" t="e">
        <f t="shared" si="210"/>
        <v>#REF!</v>
      </c>
      <c r="X309" s="12" t="e">
        <f t="shared" si="211"/>
        <v>#REF!</v>
      </c>
      <c r="Y309" s="12" t="e">
        <f t="shared" si="212"/>
        <v>#REF!</v>
      </c>
      <c r="Z309" s="12" t="e">
        <f t="shared" si="213"/>
        <v>#REF!</v>
      </c>
      <c r="AA309" s="12" t="e">
        <f t="shared" si="214"/>
        <v>#REF!</v>
      </c>
    </row>
    <row r="310" spans="1:27" s="3" customFormat="1" x14ac:dyDescent="0.2">
      <c r="A310" s="4"/>
      <c r="B310" s="9">
        <v>24</v>
      </c>
      <c r="C310" s="9" t="s">
        <v>37</v>
      </c>
      <c r="D310" s="10" t="s">
        <v>23</v>
      </c>
      <c r="E310" s="19" t="s">
        <v>12</v>
      </c>
      <c r="F310" s="10" t="str">
        <f t="shared" si="183"/>
        <v>24SELPREMIUM</v>
      </c>
      <c r="G310" s="12">
        <v>20.917349999999999</v>
      </c>
      <c r="H310" s="12">
        <v>20.917349999999999</v>
      </c>
      <c r="I310" s="12">
        <v>20.917349999999999</v>
      </c>
      <c r="J310" s="12">
        <v>20.917349999999999</v>
      </c>
      <c r="K310" s="12">
        <v>20.917349999999999</v>
      </c>
      <c r="M310" s="12">
        <f t="shared" si="184"/>
        <v>11.51</v>
      </c>
      <c r="O310" s="12" t="e">
        <f>#REF!</f>
        <v>#REF!</v>
      </c>
      <c r="P310" s="22" t="e">
        <f t="shared" ref="P310:S310" si="254">O310</f>
        <v>#REF!</v>
      </c>
      <c r="Q310" s="22" t="e">
        <f t="shared" si="254"/>
        <v>#REF!</v>
      </c>
      <c r="R310" s="22" t="e">
        <f t="shared" si="254"/>
        <v>#REF!</v>
      </c>
      <c r="S310" s="22" t="e">
        <f t="shared" si="254"/>
        <v>#REF!</v>
      </c>
      <c r="U310" s="12" t="e">
        <f>#REF!</f>
        <v>#REF!</v>
      </c>
      <c r="W310" s="12" t="e">
        <f t="shared" si="210"/>
        <v>#REF!</v>
      </c>
      <c r="X310" s="12" t="e">
        <f t="shared" si="211"/>
        <v>#REF!</v>
      </c>
      <c r="Y310" s="12" t="e">
        <f t="shared" si="212"/>
        <v>#REF!</v>
      </c>
      <c r="Z310" s="12" t="e">
        <f t="shared" si="213"/>
        <v>#REF!</v>
      </c>
      <c r="AA310" s="12" t="e">
        <f t="shared" si="214"/>
        <v>#REF!</v>
      </c>
    </row>
    <row r="311" spans="1:27" s="3" customFormat="1" x14ac:dyDescent="0.2">
      <c r="A311" s="4"/>
      <c r="B311" s="9">
        <v>25</v>
      </c>
      <c r="C311" s="9" t="s">
        <v>37</v>
      </c>
      <c r="D311" s="10" t="s">
        <v>23</v>
      </c>
      <c r="E311" s="19" t="s">
        <v>12</v>
      </c>
      <c r="F311" s="10" t="str">
        <f t="shared" si="183"/>
        <v>25SELPREMIUM</v>
      </c>
      <c r="G311" s="12">
        <v>20.824200000000001</v>
      </c>
      <c r="H311" s="12">
        <v>20.824200000000001</v>
      </c>
      <c r="I311" s="12">
        <v>20.824200000000001</v>
      </c>
      <c r="J311" s="12">
        <v>20.824200000000001</v>
      </c>
      <c r="K311" s="12">
        <v>20.824200000000001</v>
      </c>
      <c r="M311" s="12">
        <f t="shared" si="184"/>
        <v>11.51</v>
      </c>
      <c r="O311" s="12" t="e">
        <f>#REF!</f>
        <v>#REF!</v>
      </c>
      <c r="P311" s="22" t="e">
        <f t="shared" ref="P311:S311" si="255">O311</f>
        <v>#REF!</v>
      </c>
      <c r="Q311" s="22" t="e">
        <f t="shared" si="255"/>
        <v>#REF!</v>
      </c>
      <c r="R311" s="22" t="e">
        <f t="shared" si="255"/>
        <v>#REF!</v>
      </c>
      <c r="S311" s="22" t="e">
        <f t="shared" si="255"/>
        <v>#REF!</v>
      </c>
      <c r="U311" s="12" t="e">
        <f>#REF!</f>
        <v>#REF!</v>
      </c>
      <c r="W311" s="12" t="e">
        <f t="shared" si="210"/>
        <v>#REF!</v>
      </c>
      <c r="X311" s="12" t="e">
        <f t="shared" si="211"/>
        <v>#REF!</v>
      </c>
      <c r="Y311" s="12" t="e">
        <f t="shared" si="212"/>
        <v>#REF!</v>
      </c>
      <c r="Z311" s="12" t="e">
        <f t="shared" si="213"/>
        <v>#REF!</v>
      </c>
      <c r="AA311" s="12" t="e">
        <f t="shared" si="214"/>
        <v>#REF!</v>
      </c>
    </row>
    <row r="312" spans="1:27" s="3" customFormat="1" x14ac:dyDescent="0.2">
      <c r="A312" s="4"/>
      <c r="B312" s="9">
        <v>26</v>
      </c>
      <c r="C312" s="9" t="s">
        <v>37</v>
      </c>
      <c r="D312" s="10" t="s">
        <v>23</v>
      </c>
      <c r="E312" s="19" t="s">
        <v>12</v>
      </c>
      <c r="F312" s="10" t="str">
        <f t="shared" si="183"/>
        <v>26SELPREMIUM</v>
      </c>
      <c r="G312" s="12">
        <v>23.370299999999997</v>
      </c>
      <c r="H312" s="12">
        <v>23.370299999999997</v>
      </c>
      <c r="I312" s="12">
        <v>23.370299999999997</v>
      </c>
      <c r="J312" s="12">
        <v>23.370299999999997</v>
      </c>
      <c r="K312" s="12">
        <v>23.370299999999997</v>
      </c>
      <c r="M312" s="12">
        <f t="shared" si="184"/>
        <v>11.51</v>
      </c>
      <c r="O312" s="12" t="e">
        <f>#REF!</f>
        <v>#REF!</v>
      </c>
      <c r="P312" s="22" t="e">
        <f t="shared" ref="P312:S312" si="256">O312</f>
        <v>#REF!</v>
      </c>
      <c r="Q312" s="22" t="e">
        <f t="shared" si="256"/>
        <v>#REF!</v>
      </c>
      <c r="R312" s="22" t="e">
        <f t="shared" si="256"/>
        <v>#REF!</v>
      </c>
      <c r="S312" s="22" t="e">
        <f t="shared" si="256"/>
        <v>#REF!</v>
      </c>
      <c r="U312" s="12" t="e">
        <f>#REF!</f>
        <v>#REF!</v>
      </c>
      <c r="W312" s="12" t="e">
        <f t="shared" si="210"/>
        <v>#REF!</v>
      </c>
      <c r="X312" s="12" t="e">
        <f t="shared" si="211"/>
        <v>#REF!</v>
      </c>
      <c r="Y312" s="12" t="e">
        <f t="shared" si="212"/>
        <v>#REF!</v>
      </c>
      <c r="Z312" s="12" t="e">
        <f t="shared" si="213"/>
        <v>#REF!</v>
      </c>
      <c r="AA312" s="12" t="e">
        <f t="shared" si="214"/>
        <v>#REF!</v>
      </c>
    </row>
    <row r="313" spans="1:27" s="3" customFormat="1" x14ac:dyDescent="0.2">
      <c r="A313" s="4"/>
      <c r="B313" s="9">
        <v>27</v>
      </c>
      <c r="C313" s="9" t="s">
        <v>37</v>
      </c>
      <c r="D313" s="10" t="s">
        <v>23</v>
      </c>
      <c r="E313" s="19" t="s">
        <v>12</v>
      </c>
      <c r="F313" s="10" t="str">
        <f t="shared" si="183"/>
        <v>27SELPREMIUM</v>
      </c>
      <c r="G313" s="12">
        <v>75.948299999999989</v>
      </c>
      <c r="H313" s="12">
        <v>75.948299999999989</v>
      </c>
      <c r="I313" s="12">
        <v>75.948299999999989</v>
      </c>
      <c r="J313" s="12">
        <v>75.948299999999989</v>
      </c>
      <c r="K313" s="12">
        <v>75.948299999999989</v>
      </c>
      <c r="M313" s="12">
        <f t="shared" si="184"/>
        <v>11.51</v>
      </c>
      <c r="O313" s="12" t="e">
        <f>#REF!</f>
        <v>#REF!</v>
      </c>
      <c r="P313" s="22" t="e">
        <f t="shared" ref="P313:S313" si="257">O313</f>
        <v>#REF!</v>
      </c>
      <c r="Q313" s="22" t="e">
        <f t="shared" si="257"/>
        <v>#REF!</v>
      </c>
      <c r="R313" s="22" t="e">
        <f t="shared" si="257"/>
        <v>#REF!</v>
      </c>
      <c r="S313" s="22" t="e">
        <f t="shared" si="257"/>
        <v>#REF!</v>
      </c>
      <c r="U313" s="12" t="e">
        <f>#REF!</f>
        <v>#REF!</v>
      </c>
      <c r="W313" s="12" t="e">
        <f t="shared" si="210"/>
        <v>#REF!</v>
      </c>
      <c r="X313" s="12" t="e">
        <f t="shared" si="211"/>
        <v>#REF!</v>
      </c>
      <c r="Y313" s="12" t="e">
        <f t="shared" si="212"/>
        <v>#REF!</v>
      </c>
      <c r="Z313" s="12" t="e">
        <f t="shared" si="213"/>
        <v>#REF!</v>
      </c>
      <c r="AA313" s="12" t="e">
        <f t="shared" si="214"/>
        <v>#REF!</v>
      </c>
    </row>
    <row r="314" spans="1:27" s="3" customFormat="1" x14ac:dyDescent="0.2">
      <c r="A314" s="4"/>
      <c r="B314" s="9">
        <v>28</v>
      </c>
      <c r="C314" s="9" t="s">
        <v>37</v>
      </c>
      <c r="D314" s="10" t="s">
        <v>23</v>
      </c>
      <c r="E314" s="19" t="s">
        <v>12</v>
      </c>
      <c r="F314" s="10" t="str">
        <f t="shared" si="183"/>
        <v>28SELPREMIUM</v>
      </c>
      <c r="G314" s="12">
        <v>79.032599999999988</v>
      </c>
      <c r="H314" s="12">
        <v>79.032599999999988</v>
      </c>
      <c r="I314" s="12">
        <v>79.032599999999988</v>
      </c>
      <c r="J314" s="12">
        <v>79.032599999999988</v>
      </c>
      <c r="K314" s="12">
        <v>79.032599999999988</v>
      </c>
      <c r="M314" s="12">
        <f t="shared" si="184"/>
        <v>11.51</v>
      </c>
      <c r="O314" s="12" t="e">
        <f>#REF!</f>
        <v>#REF!</v>
      </c>
      <c r="P314" s="22" t="e">
        <f t="shared" ref="P314:S314" si="258">O314</f>
        <v>#REF!</v>
      </c>
      <c r="Q314" s="22" t="e">
        <f t="shared" si="258"/>
        <v>#REF!</v>
      </c>
      <c r="R314" s="22" t="e">
        <f t="shared" si="258"/>
        <v>#REF!</v>
      </c>
      <c r="S314" s="22" t="e">
        <f t="shared" si="258"/>
        <v>#REF!</v>
      </c>
      <c r="U314" s="12" t="e">
        <f>#REF!</f>
        <v>#REF!</v>
      </c>
      <c r="W314" s="12" t="e">
        <f t="shared" si="210"/>
        <v>#REF!</v>
      </c>
      <c r="X314" s="12" t="e">
        <f t="shared" si="211"/>
        <v>#REF!</v>
      </c>
      <c r="Y314" s="12" t="e">
        <f t="shared" si="212"/>
        <v>#REF!</v>
      </c>
      <c r="Z314" s="12" t="e">
        <f t="shared" si="213"/>
        <v>#REF!</v>
      </c>
      <c r="AA314" s="12" t="e">
        <f t="shared" si="214"/>
        <v>#REF!</v>
      </c>
    </row>
    <row r="315" spans="1:27" s="3" customFormat="1" x14ac:dyDescent="0.2">
      <c r="A315" s="4"/>
      <c r="B315" s="9">
        <v>31</v>
      </c>
      <c r="C315" s="9" t="s">
        <v>46</v>
      </c>
      <c r="D315" s="10" t="s">
        <v>23</v>
      </c>
      <c r="E315" s="19" t="s">
        <v>12</v>
      </c>
      <c r="F315" s="10" t="str">
        <f t="shared" si="183"/>
        <v>31SELPREMIUM</v>
      </c>
      <c r="G315" s="13">
        <v>13.051349999999998</v>
      </c>
      <c r="H315" s="13">
        <v>13.051349999999998</v>
      </c>
      <c r="I315" s="13">
        <v>13.051349999999998</v>
      </c>
      <c r="J315" s="13">
        <v>13.051349999999998</v>
      </c>
      <c r="K315" s="13">
        <v>13.051349999999998</v>
      </c>
      <c r="M315" s="13">
        <f t="shared" si="184"/>
        <v>10.81</v>
      </c>
      <c r="O315" s="13" t="e">
        <f>#REF!</f>
        <v>#REF!</v>
      </c>
      <c r="P315" s="22" t="e">
        <f t="shared" ref="P315:S315" si="259">O315</f>
        <v>#REF!</v>
      </c>
      <c r="Q315" s="22" t="e">
        <f t="shared" si="259"/>
        <v>#REF!</v>
      </c>
      <c r="R315" s="22" t="e">
        <f t="shared" si="259"/>
        <v>#REF!</v>
      </c>
      <c r="S315" s="22" t="e">
        <f t="shared" si="259"/>
        <v>#REF!</v>
      </c>
      <c r="U315" s="13" t="e">
        <f>#REF!</f>
        <v>#REF!</v>
      </c>
      <c r="W315" s="13" t="e">
        <f t="shared" si="210"/>
        <v>#REF!</v>
      </c>
      <c r="X315" s="13" t="e">
        <f t="shared" si="211"/>
        <v>#REF!</v>
      </c>
      <c r="Y315" s="13" t="e">
        <f t="shared" si="212"/>
        <v>#REF!</v>
      </c>
      <c r="Z315" s="13" t="e">
        <f t="shared" si="213"/>
        <v>#REF!</v>
      </c>
      <c r="AA315" s="13" t="e">
        <f t="shared" si="214"/>
        <v>#REF!</v>
      </c>
    </row>
    <row r="316" spans="1:27" s="3" customFormat="1" x14ac:dyDescent="0.2">
      <c r="A316" s="4"/>
      <c r="B316" s="9">
        <v>32</v>
      </c>
      <c r="C316" s="9" t="s">
        <v>46</v>
      </c>
      <c r="D316" s="10" t="s">
        <v>23</v>
      </c>
      <c r="E316" s="19" t="s">
        <v>12</v>
      </c>
      <c r="F316" s="10" t="str">
        <f t="shared" si="183"/>
        <v>32SELPREMIUM</v>
      </c>
      <c r="G316" s="13">
        <v>16.880849999999999</v>
      </c>
      <c r="H316" s="13">
        <v>16.880849999999999</v>
      </c>
      <c r="I316" s="13">
        <v>16.880849999999999</v>
      </c>
      <c r="J316" s="13">
        <v>16.880849999999999</v>
      </c>
      <c r="K316" s="13">
        <v>16.880849999999999</v>
      </c>
      <c r="M316" s="13">
        <f t="shared" si="184"/>
        <v>10.81</v>
      </c>
      <c r="O316" s="13" t="e">
        <f>#REF!</f>
        <v>#REF!</v>
      </c>
      <c r="P316" s="22" t="e">
        <f t="shared" ref="P316:S316" si="260">O316</f>
        <v>#REF!</v>
      </c>
      <c r="Q316" s="22" t="e">
        <f t="shared" si="260"/>
        <v>#REF!</v>
      </c>
      <c r="R316" s="22" t="e">
        <f t="shared" si="260"/>
        <v>#REF!</v>
      </c>
      <c r="S316" s="22" t="e">
        <f t="shared" si="260"/>
        <v>#REF!</v>
      </c>
      <c r="U316" s="13" t="e">
        <f>#REF!</f>
        <v>#REF!</v>
      </c>
      <c r="W316" s="13" t="e">
        <f t="shared" si="210"/>
        <v>#REF!</v>
      </c>
      <c r="X316" s="13" t="e">
        <f t="shared" si="211"/>
        <v>#REF!</v>
      </c>
      <c r="Y316" s="13" t="e">
        <f t="shared" si="212"/>
        <v>#REF!</v>
      </c>
      <c r="Z316" s="13" t="e">
        <f t="shared" si="213"/>
        <v>#REF!</v>
      </c>
      <c r="AA316" s="13" t="e">
        <f t="shared" si="214"/>
        <v>#REF!</v>
      </c>
    </row>
    <row r="317" spans="1:27" s="3" customFormat="1" x14ac:dyDescent="0.2">
      <c r="A317" s="4"/>
      <c r="B317" s="9">
        <v>33</v>
      </c>
      <c r="C317" s="9" t="s">
        <v>46</v>
      </c>
      <c r="D317" s="10" t="s">
        <v>23</v>
      </c>
      <c r="E317" s="19" t="s">
        <v>12</v>
      </c>
      <c r="F317" s="10" t="str">
        <f t="shared" si="183"/>
        <v>33SELPREMIUM</v>
      </c>
      <c r="G317" s="13">
        <v>18.9405</v>
      </c>
      <c r="H317" s="13">
        <v>18.9405</v>
      </c>
      <c r="I317" s="13">
        <v>18.9405</v>
      </c>
      <c r="J317" s="13">
        <v>18.9405</v>
      </c>
      <c r="K317" s="13">
        <v>18.9405</v>
      </c>
      <c r="M317" s="13">
        <f t="shared" si="184"/>
        <v>10.81</v>
      </c>
      <c r="O317" s="13" t="e">
        <f>#REF!</f>
        <v>#REF!</v>
      </c>
      <c r="P317" s="22" t="e">
        <f t="shared" ref="P317:S317" si="261">O317</f>
        <v>#REF!</v>
      </c>
      <c r="Q317" s="22" t="e">
        <f t="shared" si="261"/>
        <v>#REF!</v>
      </c>
      <c r="R317" s="22" t="e">
        <f t="shared" si="261"/>
        <v>#REF!</v>
      </c>
      <c r="S317" s="22" t="e">
        <f t="shared" si="261"/>
        <v>#REF!</v>
      </c>
      <c r="U317" s="13" t="e">
        <f>#REF!</f>
        <v>#REF!</v>
      </c>
      <c r="W317" s="13" t="e">
        <f t="shared" si="210"/>
        <v>#REF!</v>
      </c>
      <c r="X317" s="13" t="e">
        <f t="shared" si="211"/>
        <v>#REF!</v>
      </c>
      <c r="Y317" s="13" t="e">
        <f t="shared" si="212"/>
        <v>#REF!</v>
      </c>
      <c r="Z317" s="13" t="e">
        <f t="shared" si="213"/>
        <v>#REF!</v>
      </c>
      <c r="AA317" s="13" t="e">
        <f t="shared" si="214"/>
        <v>#REF!</v>
      </c>
    </row>
    <row r="318" spans="1:27" s="3" customFormat="1" x14ac:dyDescent="0.2">
      <c r="A318" s="4"/>
      <c r="B318" s="9">
        <v>34</v>
      </c>
      <c r="C318" s="9" t="s">
        <v>46</v>
      </c>
      <c r="D318" s="10" t="s">
        <v>23</v>
      </c>
      <c r="E318" s="19" t="s">
        <v>12</v>
      </c>
      <c r="F318" s="10" t="str">
        <f t="shared" si="183"/>
        <v>34SELPREMIUM</v>
      </c>
      <c r="G318" s="13">
        <v>20.782799999999998</v>
      </c>
      <c r="H318" s="13">
        <v>20.782799999999998</v>
      </c>
      <c r="I318" s="13">
        <v>20.782799999999998</v>
      </c>
      <c r="J318" s="13">
        <v>20.782799999999998</v>
      </c>
      <c r="K318" s="13">
        <v>20.782799999999998</v>
      </c>
      <c r="M318" s="13">
        <f t="shared" si="184"/>
        <v>10.81</v>
      </c>
      <c r="O318" s="13" t="e">
        <f>#REF!</f>
        <v>#REF!</v>
      </c>
      <c r="P318" s="22" t="e">
        <f t="shared" ref="P318:S318" si="262">O318</f>
        <v>#REF!</v>
      </c>
      <c r="Q318" s="22" t="e">
        <f t="shared" si="262"/>
        <v>#REF!</v>
      </c>
      <c r="R318" s="22" t="e">
        <f t="shared" si="262"/>
        <v>#REF!</v>
      </c>
      <c r="S318" s="22" t="e">
        <f t="shared" si="262"/>
        <v>#REF!</v>
      </c>
      <c r="U318" s="13" t="e">
        <f>#REF!</f>
        <v>#REF!</v>
      </c>
      <c r="W318" s="13" t="e">
        <f t="shared" si="210"/>
        <v>#REF!</v>
      </c>
      <c r="X318" s="13" t="e">
        <f t="shared" si="211"/>
        <v>#REF!</v>
      </c>
      <c r="Y318" s="13" t="e">
        <f t="shared" si="212"/>
        <v>#REF!</v>
      </c>
      <c r="Z318" s="13" t="e">
        <f t="shared" si="213"/>
        <v>#REF!</v>
      </c>
      <c r="AA318" s="13" t="e">
        <f t="shared" si="214"/>
        <v>#REF!</v>
      </c>
    </row>
    <row r="319" spans="1:27" s="3" customFormat="1" x14ac:dyDescent="0.2">
      <c r="A319" s="4"/>
      <c r="B319" s="9">
        <v>35</v>
      </c>
      <c r="C319" s="9" t="s">
        <v>46</v>
      </c>
      <c r="D319" s="10" t="s">
        <v>23</v>
      </c>
      <c r="E319" s="19" t="s">
        <v>12</v>
      </c>
      <c r="F319" s="10" t="str">
        <f t="shared" si="183"/>
        <v>35SELPREMIUM</v>
      </c>
      <c r="G319" s="13">
        <v>22.604399999999998</v>
      </c>
      <c r="H319" s="13">
        <v>22.604399999999998</v>
      </c>
      <c r="I319" s="13">
        <v>22.604399999999998</v>
      </c>
      <c r="J319" s="13">
        <v>22.604399999999998</v>
      </c>
      <c r="K319" s="13">
        <v>22.604399999999998</v>
      </c>
      <c r="M319" s="13">
        <f t="shared" si="184"/>
        <v>10.81</v>
      </c>
      <c r="O319" s="13" t="e">
        <f>#REF!</f>
        <v>#REF!</v>
      </c>
      <c r="P319" s="22" t="e">
        <f t="shared" ref="P319:S319" si="263">O319</f>
        <v>#REF!</v>
      </c>
      <c r="Q319" s="22" t="e">
        <f t="shared" si="263"/>
        <v>#REF!</v>
      </c>
      <c r="R319" s="22" t="e">
        <f t="shared" si="263"/>
        <v>#REF!</v>
      </c>
      <c r="S319" s="22" t="e">
        <f t="shared" si="263"/>
        <v>#REF!</v>
      </c>
      <c r="U319" s="13" t="e">
        <f>#REF!</f>
        <v>#REF!</v>
      </c>
      <c r="W319" s="13" t="e">
        <f t="shared" si="210"/>
        <v>#REF!</v>
      </c>
      <c r="X319" s="13" t="e">
        <f t="shared" si="211"/>
        <v>#REF!</v>
      </c>
      <c r="Y319" s="13" t="e">
        <f t="shared" si="212"/>
        <v>#REF!</v>
      </c>
      <c r="Z319" s="13" t="e">
        <f t="shared" si="213"/>
        <v>#REF!</v>
      </c>
      <c r="AA319" s="13" t="e">
        <f t="shared" si="214"/>
        <v>#REF!</v>
      </c>
    </row>
    <row r="320" spans="1:27" s="3" customFormat="1" x14ac:dyDescent="0.2">
      <c r="A320" s="4"/>
      <c r="B320" s="9">
        <v>41</v>
      </c>
      <c r="C320" s="9" t="s">
        <v>38</v>
      </c>
      <c r="D320" s="10" t="s">
        <v>23</v>
      </c>
      <c r="E320" s="19" t="s">
        <v>12</v>
      </c>
      <c r="F320" s="10" t="str">
        <f t="shared" si="183"/>
        <v>41SELPREMIUM</v>
      </c>
      <c r="G320" s="14">
        <v>12.55</v>
      </c>
      <c r="H320" s="14">
        <v>12.55</v>
      </c>
      <c r="I320" s="14">
        <v>12.55</v>
      </c>
      <c r="J320" s="14">
        <v>12.55</v>
      </c>
      <c r="K320" s="14">
        <v>12.55</v>
      </c>
      <c r="M320" s="14">
        <f t="shared" si="184"/>
        <v>9.76</v>
      </c>
      <c r="O320" s="14" t="e">
        <f>#REF!</f>
        <v>#REF!</v>
      </c>
      <c r="P320" s="22" t="e">
        <f t="shared" ref="P320:S320" si="264">O320</f>
        <v>#REF!</v>
      </c>
      <c r="Q320" s="22" t="e">
        <f t="shared" si="264"/>
        <v>#REF!</v>
      </c>
      <c r="R320" s="22" t="e">
        <f t="shared" si="264"/>
        <v>#REF!</v>
      </c>
      <c r="S320" s="22" t="e">
        <f t="shared" si="264"/>
        <v>#REF!</v>
      </c>
      <c r="U320" s="14" t="e">
        <f>#REF!</f>
        <v>#REF!</v>
      </c>
      <c r="W320" s="14" t="e">
        <f t="shared" si="210"/>
        <v>#REF!</v>
      </c>
      <c r="X320" s="14" t="e">
        <f t="shared" si="211"/>
        <v>#REF!</v>
      </c>
      <c r="Y320" s="14" t="e">
        <f t="shared" si="212"/>
        <v>#REF!</v>
      </c>
      <c r="Z320" s="14" t="e">
        <f t="shared" si="213"/>
        <v>#REF!</v>
      </c>
      <c r="AA320" s="14" t="e">
        <f t="shared" si="214"/>
        <v>#REF!</v>
      </c>
    </row>
    <row r="321" spans="1:27" s="3" customFormat="1" x14ac:dyDescent="0.2">
      <c r="A321" s="4"/>
      <c r="B321" s="9">
        <v>42</v>
      </c>
      <c r="C321" s="9" t="s">
        <v>38</v>
      </c>
      <c r="D321" s="10" t="s">
        <v>23</v>
      </c>
      <c r="E321" s="19" t="s">
        <v>12</v>
      </c>
      <c r="F321" s="10" t="str">
        <f t="shared" si="183"/>
        <v>42SELPREMIUM</v>
      </c>
      <c r="G321" s="14">
        <v>14.65</v>
      </c>
      <c r="H321" s="14">
        <v>14.65</v>
      </c>
      <c r="I321" s="14">
        <v>14.65</v>
      </c>
      <c r="J321" s="14">
        <v>14.65</v>
      </c>
      <c r="K321" s="14">
        <v>14.65</v>
      </c>
      <c r="M321" s="14">
        <f t="shared" si="184"/>
        <v>9.76</v>
      </c>
      <c r="O321" s="14" t="e">
        <f>#REF!</f>
        <v>#REF!</v>
      </c>
      <c r="P321" s="22" t="e">
        <f t="shared" ref="P321:S321" si="265">O321</f>
        <v>#REF!</v>
      </c>
      <c r="Q321" s="22" t="e">
        <f t="shared" si="265"/>
        <v>#REF!</v>
      </c>
      <c r="R321" s="22" t="e">
        <f t="shared" si="265"/>
        <v>#REF!</v>
      </c>
      <c r="S321" s="22" t="e">
        <f t="shared" si="265"/>
        <v>#REF!</v>
      </c>
      <c r="U321" s="14" t="e">
        <f>#REF!</f>
        <v>#REF!</v>
      </c>
      <c r="W321" s="14" t="e">
        <f t="shared" si="210"/>
        <v>#REF!</v>
      </c>
      <c r="X321" s="14" t="e">
        <f t="shared" si="211"/>
        <v>#REF!</v>
      </c>
      <c r="Y321" s="14" t="e">
        <f t="shared" si="212"/>
        <v>#REF!</v>
      </c>
      <c r="Z321" s="14" t="e">
        <f t="shared" si="213"/>
        <v>#REF!</v>
      </c>
      <c r="AA321" s="14" t="e">
        <f t="shared" si="214"/>
        <v>#REF!</v>
      </c>
    </row>
    <row r="322" spans="1:27" s="3" customFormat="1" x14ac:dyDescent="0.2">
      <c r="A322" s="4"/>
      <c r="B322" s="9">
        <v>43</v>
      </c>
      <c r="C322" s="9" t="s">
        <v>38</v>
      </c>
      <c r="D322" s="10" t="s">
        <v>23</v>
      </c>
      <c r="E322" s="19" t="s">
        <v>12</v>
      </c>
      <c r="F322" s="10" t="str">
        <f t="shared" si="183"/>
        <v>43SELPREMIUM</v>
      </c>
      <c r="G322" s="14">
        <v>17.55</v>
      </c>
      <c r="H322" s="14">
        <v>17.55</v>
      </c>
      <c r="I322" s="14">
        <v>17.55</v>
      </c>
      <c r="J322" s="14">
        <v>17.55</v>
      </c>
      <c r="K322" s="14">
        <v>17.55</v>
      </c>
      <c r="M322" s="14">
        <f t="shared" si="184"/>
        <v>9.76</v>
      </c>
      <c r="O322" s="14" t="e">
        <f>#REF!</f>
        <v>#REF!</v>
      </c>
      <c r="P322" s="22" t="e">
        <f t="shared" ref="P322:S322" si="266">O322</f>
        <v>#REF!</v>
      </c>
      <c r="Q322" s="22" t="e">
        <f t="shared" si="266"/>
        <v>#REF!</v>
      </c>
      <c r="R322" s="22" t="e">
        <f t="shared" si="266"/>
        <v>#REF!</v>
      </c>
      <c r="S322" s="22" t="e">
        <f t="shared" si="266"/>
        <v>#REF!</v>
      </c>
      <c r="U322" s="14" t="e">
        <f>#REF!</f>
        <v>#REF!</v>
      </c>
      <c r="W322" s="14" t="e">
        <f t="shared" si="210"/>
        <v>#REF!</v>
      </c>
      <c r="X322" s="14" t="e">
        <f t="shared" si="211"/>
        <v>#REF!</v>
      </c>
      <c r="Y322" s="14" t="e">
        <f t="shared" si="212"/>
        <v>#REF!</v>
      </c>
      <c r="Z322" s="14" t="e">
        <f t="shared" si="213"/>
        <v>#REF!</v>
      </c>
      <c r="AA322" s="14" t="e">
        <f t="shared" si="214"/>
        <v>#REF!</v>
      </c>
    </row>
    <row r="323" spans="1:27" s="3" customFormat="1" x14ac:dyDescent="0.2">
      <c r="A323" s="4"/>
      <c r="B323" s="9">
        <v>44</v>
      </c>
      <c r="C323" s="9" t="s">
        <v>38</v>
      </c>
      <c r="D323" s="10" t="s">
        <v>23</v>
      </c>
      <c r="E323" s="19" t="s">
        <v>12</v>
      </c>
      <c r="F323" s="10" t="str">
        <f t="shared" si="183"/>
        <v>44SELPREMIUM</v>
      </c>
      <c r="G323" s="14">
        <v>57.03</v>
      </c>
      <c r="H323" s="14">
        <v>57.03</v>
      </c>
      <c r="I323" s="14">
        <v>57.03</v>
      </c>
      <c r="J323" s="14">
        <v>57.03</v>
      </c>
      <c r="K323" s="14">
        <v>57.03</v>
      </c>
      <c r="M323" s="14">
        <f t="shared" si="184"/>
        <v>9.76</v>
      </c>
      <c r="O323" s="14" t="e">
        <f>#REF!</f>
        <v>#REF!</v>
      </c>
      <c r="P323" s="22" t="e">
        <f t="shared" ref="P323:S323" si="267">O323</f>
        <v>#REF!</v>
      </c>
      <c r="Q323" s="22" t="e">
        <f t="shared" si="267"/>
        <v>#REF!</v>
      </c>
      <c r="R323" s="22" t="e">
        <f t="shared" si="267"/>
        <v>#REF!</v>
      </c>
      <c r="S323" s="22" t="e">
        <f t="shared" si="267"/>
        <v>#REF!</v>
      </c>
      <c r="U323" s="14" t="e">
        <f>#REF!</f>
        <v>#REF!</v>
      </c>
      <c r="W323" s="14" t="e">
        <f t="shared" si="210"/>
        <v>#REF!</v>
      </c>
      <c r="X323" s="14" t="e">
        <f t="shared" si="211"/>
        <v>#REF!</v>
      </c>
      <c r="Y323" s="14" t="e">
        <f t="shared" si="212"/>
        <v>#REF!</v>
      </c>
      <c r="Z323" s="14" t="e">
        <f t="shared" si="213"/>
        <v>#REF!</v>
      </c>
      <c r="AA323" s="14" t="e">
        <f t="shared" si="214"/>
        <v>#REF!</v>
      </c>
    </row>
    <row r="324" spans="1:27" s="3" customFormat="1" x14ac:dyDescent="0.2">
      <c r="A324" s="4"/>
      <c r="B324" s="9">
        <v>45</v>
      </c>
      <c r="C324" s="9" t="s">
        <v>38</v>
      </c>
      <c r="D324" s="10" t="s">
        <v>23</v>
      </c>
      <c r="E324" s="19" t="s">
        <v>12</v>
      </c>
      <c r="F324" s="10" t="str">
        <f t="shared" si="183"/>
        <v>45SELPREMIUM</v>
      </c>
      <c r="G324" s="14">
        <v>59.89</v>
      </c>
      <c r="H324" s="14">
        <v>59.89</v>
      </c>
      <c r="I324" s="14">
        <v>59.89</v>
      </c>
      <c r="J324" s="14">
        <v>59.89</v>
      </c>
      <c r="K324" s="14">
        <v>59.89</v>
      </c>
      <c r="M324" s="14">
        <f t="shared" si="184"/>
        <v>9.76</v>
      </c>
      <c r="O324" s="14" t="e">
        <f>#REF!</f>
        <v>#REF!</v>
      </c>
      <c r="P324" s="22" t="e">
        <f t="shared" ref="P324:S324" si="268">O324</f>
        <v>#REF!</v>
      </c>
      <c r="Q324" s="22" t="e">
        <f t="shared" si="268"/>
        <v>#REF!</v>
      </c>
      <c r="R324" s="22" t="e">
        <f t="shared" si="268"/>
        <v>#REF!</v>
      </c>
      <c r="S324" s="22" t="e">
        <f t="shared" si="268"/>
        <v>#REF!</v>
      </c>
      <c r="U324" s="14" t="e">
        <f>#REF!</f>
        <v>#REF!</v>
      </c>
      <c r="W324" s="14" t="e">
        <f t="shared" si="210"/>
        <v>#REF!</v>
      </c>
      <c r="X324" s="14" t="e">
        <f t="shared" si="211"/>
        <v>#REF!</v>
      </c>
      <c r="Y324" s="14" t="e">
        <f t="shared" si="212"/>
        <v>#REF!</v>
      </c>
      <c r="Z324" s="14" t="e">
        <f t="shared" si="213"/>
        <v>#REF!</v>
      </c>
      <c r="AA324" s="14" t="e">
        <f t="shared" si="214"/>
        <v>#REF!</v>
      </c>
    </row>
    <row r="325" spans="1:27" x14ac:dyDescent="0.2">
      <c r="B325" s="9">
        <v>51</v>
      </c>
      <c r="C325" s="9" t="s">
        <v>39</v>
      </c>
      <c r="D325" s="10" t="s">
        <v>23</v>
      </c>
      <c r="E325" s="19" t="s">
        <v>12</v>
      </c>
      <c r="F325" s="10" t="str">
        <f t="shared" si="183"/>
        <v>51SELPREMIUM</v>
      </c>
      <c r="G325" s="18">
        <v>12.55</v>
      </c>
      <c r="H325" s="18">
        <v>12.55</v>
      </c>
      <c r="I325" s="18">
        <v>12.55</v>
      </c>
      <c r="J325" s="18">
        <v>12.55</v>
      </c>
      <c r="K325" s="18">
        <v>12.55</v>
      </c>
      <c r="M325" s="18">
        <f t="shared" si="184"/>
        <v>9.76</v>
      </c>
      <c r="O325" s="18" t="e">
        <f>#REF!</f>
        <v>#REF!</v>
      </c>
      <c r="P325" s="22" t="e">
        <f t="shared" ref="P325:S325" si="269">O325</f>
        <v>#REF!</v>
      </c>
      <c r="Q325" s="22" t="e">
        <f t="shared" si="269"/>
        <v>#REF!</v>
      </c>
      <c r="R325" s="22" t="e">
        <f t="shared" si="269"/>
        <v>#REF!</v>
      </c>
      <c r="S325" s="22" t="e">
        <f t="shared" si="269"/>
        <v>#REF!</v>
      </c>
      <c r="U325" s="18" t="e">
        <f>#REF!</f>
        <v>#REF!</v>
      </c>
      <c r="W325" s="18" t="e">
        <f t="shared" si="210"/>
        <v>#REF!</v>
      </c>
      <c r="X325" s="18" t="e">
        <f t="shared" si="211"/>
        <v>#REF!</v>
      </c>
      <c r="Y325" s="18" t="e">
        <f t="shared" si="212"/>
        <v>#REF!</v>
      </c>
      <c r="Z325" s="18" t="e">
        <f t="shared" si="213"/>
        <v>#REF!</v>
      </c>
      <c r="AA325" s="18" t="e">
        <f t="shared" si="214"/>
        <v>#REF!</v>
      </c>
    </row>
    <row r="326" spans="1:27" x14ac:dyDescent="0.2">
      <c r="B326" s="9">
        <v>52</v>
      </c>
      <c r="C326" s="9" t="s">
        <v>39</v>
      </c>
      <c r="D326" s="10" t="s">
        <v>23</v>
      </c>
      <c r="E326" s="19" t="s">
        <v>12</v>
      </c>
      <c r="F326" s="10" t="str">
        <f t="shared" si="183"/>
        <v>52SELPREMIUM</v>
      </c>
      <c r="G326" s="18">
        <v>14.65</v>
      </c>
      <c r="H326" s="18">
        <v>14.65</v>
      </c>
      <c r="I326" s="18">
        <v>14.65</v>
      </c>
      <c r="J326" s="18">
        <v>14.65</v>
      </c>
      <c r="K326" s="18">
        <v>14.65</v>
      </c>
      <c r="M326" s="18">
        <f t="shared" ref="M326:M364" si="270">VLOOKUP(C326,$AG$5:$AL$9,6,FALSE)</f>
        <v>9.76</v>
      </c>
      <c r="O326" s="18" t="e">
        <f>#REF!</f>
        <v>#REF!</v>
      </c>
      <c r="P326" s="22" t="e">
        <f t="shared" ref="P326:S326" si="271">O326</f>
        <v>#REF!</v>
      </c>
      <c r="Q326" s="22" t="e">
        <f t="shared" si="271"/>
        <v>#REF!</v>
      </c>
      <c r="R326" s="22" t="e">
        <f t="shared" si="271"/>
        <v>#REF!</v>
      </c>
      <c r="S326" s="22" t="e">
        <f t="shared" si="271"/>
        <v>#REF!</v>
      </c>
      <c r="U326" s="18" t="e">
        <f>#REF!</f>
        <v>#REF!</v>
      </c>
      <c r="W326" s="18" t="e">
        <f t="shared" si="210"/>
        <v>#REF!</v>
      </c>
      <c r="X326" s="18" t="e">
        <f t="shared" si="211"/>
        <v>#REF!</v>
      </c>
      <c r="Y326" s="18" t="e">
        <f t="shared" si="212"/>
        <v>#REF!</v>
      </c>
      <c r="Z326" s="18" t="e">
        <f t="shared" si="213"/>
        <v>#REF!</v>
      </c>
      <c r="AA326" s="18" t="e">
        <f t="shared" si="214"/>
        <v>#REF!</v>
      </c>
    </row>
    <row r="327" spans="1:27" x14ac:dyDescent="0.2">
      <c r="B327" s="9">
        <v>53</v>
      </c>
      <c r="C327" s="9" t="s">
        <v>39</v>
      </c>
      <c r="D327" s="10" t="s">
        <v>23</v>
      </c>
      <c r="E327" s="19" t="s">
        <v>12</v>
      </c>
      <c r="F327" s="10" t="str">
        <f t="shared" si="183"/>
        <v>53SELPREMIUM</v>
      </c>
      <c r="G327" s="18">
        <v>17.55</v>
      </c>
      <c r="H327" s="18">
        <v>17.55</v>
      </c>
      <c r="I327" s="18">
        <v>17.55</v>
      </c>
      <c r="J327" s="18">
        <v>17.55</v>
      </c>
      <c r="K327" s="18">
        <v>17.55</v>
      </c>
      <c r="M327" s="18">
        <f t="shared" si="270"/>
        <v>9.76</v>
      </c>
      <c r="O327" s="18" t="e">
        <f>#REF!</f>
        <v>#REF!</v>
      </c>
      <c r="P327" s="22" t="e">
        <f t="shared" ref="P327:S327" si="272">O327</f>
        <v>#REF!</v>
      </c>
      <c r="Q327" s="22" t="e">
        <f t="shared" si="272"/>
        <v>#REF!</v>
      </c>
      <c r="R327" s="22" t="e">
        <f t="shared" si="272"/>
        <v>#REF!</v>
      </c>
      <c r="S327" s="22" t="e">
        <f t="shared" si="272"/>
        <v>#REF!</v>
      </c>
      <c r="U327" s="18" t="e">
        <f>#REF!</f>
        <v>#REF!</v>
      </c>
      <c r="W327" s="18" t="e">
        <f t="shared" si="210"/>
        <v>#REF!</v>
      </c>
      <c r="X327" s="18" t="e">
        <f t="shared" si="211"/>
        <v>#REF!</v>
      </c>
      <c r="Y327" s="18" t="e">
        <f t="shared" si="212"/>
        <v>#REF!</v>
      </c>
      <c r="Z327" s="18" t="e">
        <f t="shared" si="213"/>
        <v>#REF!</v>
      </c>
      <c r="AA327" s="18" t="e">
        <f t="shared" si="214"/>
        <v>#REF!</v>
      </c>
    </row>
    <row r="328" spans="1:27" x14ac:dyDescent="0.2">
      <c r="B328" s="9">
        <v>54</v>
      </c>
      <c r="C328" s="9" t="s">
        <v>39</v>
      </c>
      <c r="D328" s="10" t="s">
        <v>23</v>
      </c>
      <c r="E328" s="19" t="s">
        <v>12</v>
      </c>
      <c r="F328" s="10" t="str">
        <f t="shared" si="183"/>
        <v>54SELPREMIUM</v>
      </c>
      <c r="G328" s="18">
        <v>18.7</v>
      </c>
      <c r="H328" s="18">
        <v>18.7</v>
      </c>
      <c r="I328" s="18">
        <v>18.7</v>
      </c>
      <c r="J328" s="18">
        <v>18.7</v>
      </c>
      <c r="K328" s="18">
        <v>18.7</v>
      </c>
      <c r="M328" s="18">
        <f t="shared" si="270"/>
        <v>9.76</v>
      </c>
      <c r="O328" s="18" t="e">
        <f>#REF!</f>
        <v>#REF!</v>
      </c>
      <c r="P328" s="22" t="e">
        <f t="shared" ref="P328:S328" si="273">O328</f>
        <v>#REF!</v>
      </c>
      <c r="Q328" s="22" t="e">
        <f t="shared" si="273"/>
        <v>#REF!</v>
      </c>
      <c r="R328" s="22" t="e">
        <f t="shared" si="273"/>
        <v>#REF!</v>
      </c>
      <c r="S328" s="22" t="e">
        <f t="shared" si="273"/>
        <v>#REF!</v>
      </c>
      <c r="U328" s="18" t="e">
        <f>#REF!</f>
        <v>#REF!</v>
      </c>
      <c r="W328" s="18" t="e">
        <f t="shared" si="210"/>
        <v>#REF!</v>
      </c>
      <c r="X328" s="18" t="e">
        <f t="shared" si="211"/>
        <v>#REF!</v>
      </c>
      <c r="Y328" s="18" t="e">
        <f t="shared" si="212"/>
        <v>#REF!</v>
      </c>
      <c r="Z328" s="18" t="e">
        <f t="shared" si="213"/>
        <v>#REF!</v>
      </c>
      <c r="AA328" s="18" t="e">
        <f t="shared" si="214"/>
        <v>#REF!</v>
      </c>
    </row>
    <row r="329" spans="1:27" s="3" customFormat="1" x14ac:dyDescent="0.2">
      <c r="A329" s="4"/>
      <c r="B329" s="9">
        <v>1</v>
      </c>
      <c r="C329" s="9" t="s">
        <v>36</v>
      </c>
      <c r="D329" s="10" t="s">
        <v>23</v>
      </c>
      <c r="E329" s="20" t="s">
        <v>18</v>
      </c>
      <c r="F329" s="10" t="str">
        <f t="shared" si="183"/>
        <v>1SELECONOMY</v>
      </c>
      <c r="G329" s="11">
        <v>14.595999999999998</v>
      </c>
      <c r="H329" s="11">
        <v>14.595999999999998</v>
      </c>
      <c r="I329" s="11">
        <v>14.595999999999998</v>
      </c>
      <c r="J329" s="11">
        <v>14.595999999999998</v>
      </c>
      <c r="K329" s="11">
        <v>14.595999999999998</v>
      </c>
      <c r="M329" s="11">
        <f t="shared" si="270"/>
        <v>11.61</v>
      </c>
      <c r="O329" s="11" t="e">
        <f>#REF!</f>
        <v>#REF!</v>
      </c>
      <c r="P329" s="22" t="e">
        <f t="shared" ref="P329:S329" si="274">O329</f>
        <v>#REF!</v>
      </c>
      <c r="Q329" s="22" t="e">
        <f t="shared" si="274"/>
        <v>#REF!</v>
      </c>
      <c r="R329" s="22" t="e">
        <f t="shared" si="274"/>
        <v>#REF!</v>
      </c>
      <c r="S329" s="22" t="e">
        <f t="shared" si="274"/>
        <v>#REF!</v>
      </c>
      <c r="U329" s="11" t="e">
        <f>#REF!</f>
        <v>#REF!</v>
      </c>
      <c r="W329" s="11" t="e">
        <f t="shared" si="210"/>
        <v>#REF!</v>
      </c>
      <c r="X329" s="11" t="e">
        <f t="shared" si="211"/>
        <v>#REF!</v>
      </c>
      <c r="Y329" s="11" t="e">
        <f t="shared" si="212"/>
        <v>#REF!</v>
      </c>
      <c r="Z329" s="11" t="e">
        <f t="shared" si="213"/>
        <v>#REF!</v>
      </c>
      <c r="AA329" s="11" t="e">
        <f t="shared" si="214"/>
        <v>#REF!</v>
      </c>
    </row>
    <row r="330" spans="1:27" s="3" customFormat="1" x14ac:dyDescent="0.2">
      <c r="A330" s="4"/>
      <c r="B330" s="9">
        <v>2</v>
      </c>
      <c r="C330" s="9" t="s">
        <v>36</v>
      </c>
      <c r="D330" s="10" t="s">
        <v>23</v>
      </c>
      <c r="E330" s="20" t="s">
        <v>18</v>
      </c>
      <c r="F330" s="10" t="str">
        <f t="shared" si="183"/>
        <v>2SELECONOMY</v>
      </c>
      <c r="G330" s="11">
        <v>15.979749999999999</v>
      </c>
      <c r="H330" s="11">
        <v>15.979749999999999</v>
      </c>
      <c r="I330" s="11">
        <v>15.979749999999999</v>
      </c>
      <c r="J330" s="11">
        <v>15.979749999999999</v>
      </c>
      <c r="K330" s="11">
        <v>15.979749999999999</v>
      </c>
      <c r="M330" s="11">
        <f t="shared" si="270"/>
        <v>11.61</v>
      </c>
      <c r="O330" s="11" t="e">
        <f>#REF!</f>
        <v>#REF!</v>
      </c>
      <c r="P330" s="22" t="e">
        <f t="shared" ref="P330:S330" si="275">O330</f>
        <v>#REF!</v>
      </c>
      <c r="Q330" s="22" t="e">
        <f t="shared" si="275"/>
        <v>#REF!</v>
      </c>
      <c r="R330" s="22" t="e">
        <f t="shared" si="275"/>
        <v>#REF!</v>
      </c>
      <c r="S330" s="22" t="e">
        <f t="shared" si="275"/>
        <v>#REF!</v>
      </c>
      <c r="U330" s="11" t="e">
        <f>#REF!</f>
        <v>#REF!</v>
      </c>
      <c r="W330" s="11" t="e">
        <f t="shared" si="210"/>
        <v>#REF!</v>
      </c>
      <c r="X330" s="11" t="e">
        <f t="shared" si="211"/>
        <v>#REF!</v>
      </c>
      <c r="Y330" s="11" t="e">
        <f t="shared" si="212"/>
        <v>#REF!</v>
      </c>
      <c r="Z330" s="11" t="e">
        <f t="shared" si="213"/>
        <v>#REF!</v>
      </c>
      <c r="AA330" s="11" t="e">
        <f t="shared" si="214"/>
        <v>#REF!</v>
      </c>
    </row>
    <row r="331" spans="1:27" s="3" customFormat="1" x14ac:dyDescent="0.2">
      <c r="A331" s="4"/>
      <c r="B331" s="9">
        <v>3</v>
      </c>
      <c r="C331" s="9" t="s">
        <v>36</v>
      </c>
      <c r="D331" s="10" t="s">
        <v>23</v>
      </c>
      <c r="E331" s="20" t="s">
        <v>18</v>
      </c>
      <c r="F331" s="10" t="str">
        <f t="shared" si="183"/>
        <v>3SELECONOMY</v>
      </c>
      <c r="G331" s="11">
        <v>17.712</v>
      </c>
      <c r="H331" s="11">
        <v>17.712</v>
      </c>
      <c r="I331" s="11">
        <v>17.712</v>
      </c>
      <c r="J331" s="11">
        <v>17.712</v>
      </c>
      <c r="K331" s="11">
        <v>17.712</v>
      </c>
      <c r="M331" s="11">
        <f t="shared" si="270"/>
        <v>11.61</v>
      </c>
      <c r="O331" s="11" t="e">
        <f>#REF!</f>
        <v>#REF!</v>
      </c>
      <c r="P331" s="22" t="e">
        <f t="shared" ref="P331:S331" si="276">O331</f>
        <v>#REF!</v>
      </c>
      <c r="Q331" s="22" t="e">
        <f t="shared" si="276"/>
        <v>#REF!</v>
      </c>
      <c r="R331" s="22" t="e">
        <f t="shared" si="276"/>
        <v>#REF!</v>
      </c>
      <c r="S331" s="22" t="e">
        <f t="shared" si="276"/>
        <v>#REF!</v>
      </c>
      <c r="U331" s="11" t="e">
        <f>#REF!</f>
        <v>#REF!</v>
      </c>
      <c r="W331" s="11" t="e">
        <f t="shared" si="210"/>
        <v>#REF!</v>
      </c>
      <c r="X331" s="11" t="e">
        <f t="shared" si="211"/>
        <v>#REF!</v>
      </c>
      <c r="Y331" s="11" t="e">
        <f t="shared" si="212"/>
        <v>#REF!</v>
      </c>
      <c r="Z331" s="11" t="e">
        <f t="shared" si="213"/>
        <v>#REF!</v>
      </c>
      <c r="AA331" s="11" t="e">
        <f t="shared" si="214"/>
        <v>#REF!</v>
      </c>
    </row>
    <row r="332" spans="1:27" s="3" customFormat="1" x14ac:dyDescent="0.2">
      <c r="A332" s="4"/>
      <c r="B332" s="9">
        <v>4</v>
      </c>
      <c r="C332" s="9" t="s">
        <v>36</v>
      </c>
      <c r="D332" s="10" t="s">
        <v>23</v>
      </c>
      <c r="E332" s="20" t="s">
        <v>18</v>
      </c>
      <c r="F332" s="10" t="str">
        <f t="shared" si="183"/>
        <v>4SELECONOMY</v>
      </c>
      <c r="G332" s="11">
        <v>20.254000000000001</v>
      </c>
      <c r="H332" s="11">
        <v>20.254000000000001</v>
      </c>
      <c r="I332" s="11">
        <v>20.254000000000001</v>
      </c>
      <c r="J332" s="11">
        <v>20.254000000000001</v>
      </c>
      <c r="K332" s="11">
        <v>20.254000000000001</v>
      </c>
      <c r="M332" s="11">
        <f t="shared" si="270"/>
        <v>11.61</v>
      </c>
      <c r="O332" s="11" t="e">
        <f>#REF!</f>
        <v>#REF!</v>
      </c>
      <c r="P332" s="22" t="e">
        <f t="shared" ref="P332:S332" si="277">O332</f>
        <v>#REF!</v>
      </c>
      <c r="Q332" s="22" t="e">
        <f t="shared" si="277"/>
        <v>#REF!</v>
      </c>
      <c r="R332" s="22" t="e">
        <f t="shared" si="277"/>
        <v>#REF!</v>
      </c>
      <c r="S332" s="22" t="e">
        <f t="shared" si="277"/>
        <v>#REF!</v>
      </c>
      <c r="U332" s="11" t="e">
        <f>#REF!</f>
        <v>#REF!</v>
      </c>
      <c r="W332" s="11" t="e">
        <f t="shared" si="210"/>
        <v>#REF!</v>
      </c>
      <c r="X332" s="11" t="e">
        <f t="shared" si="211"/>
        <v>#REF!</v>
      </c>
      <c r="Y332" s="11" t="e">
        <f t="shared" si="212"/>
        <v>#REF!</v>
      </c>
      <c r="Z332" s="11" t="e">
        <f t="shared" si="213"/>
        <v>#REF!</v>
      </c>
      <c r="AA332" s="11" t="e">
        <f t="shared" si="214"/>
        <v>#REF!</v>
      </c>
    </row>
    <row r="333" spans="1:27" s="3" customFormat="1" x14ac:dyDescent="0.2">
      <c r="A333" s="4"/>
      <c r="B333" s="9">
        <v>5</v>
      </c>
      <c r="C333" s="9" t="s">
        <v>36</v>
      </c>
      <c r="D333" s="10" t="s">
        <v>23</v>
      </c>
      <c r="E333" s="20" t="s">
        <v>18</v>
      </c>
      <c r="F333" s="10" t="str">
        <f t="shared" si="183"/>
        <v>5SELECONOMY</v>
      </c>
      <c r="G333" s="11">
        <v>22.047750000000001</v>
      </c>
      <c r="H333" s="11">
        <v>22.047750000000001</v>
      </c>
      <c r="I333" s="11">
        <v>22.047750000000001</v>
      </c>
      <c r="J333" s="11">
        <v>22.047750000000001</v>
      </c>
      <c r="K333" s="11">
        <v>22.047750000000001</v>
      </c>
      <c r="M333" s="11">
        <f t="shared" si="270"/>
        <v>11.61</v>
      </c>
      <c r="O333" s="11" t="e">
        <f>#REF!</f>
        <v>#REF!</v>
      </c>
      <c r="P333" s="22" t="e">
        <f t="shared" ref="P333:S333" si="278">O333</f>
        <v>#REF!</v>
      </c>
      <c r="Q333" s="22" t="e">
        <f t="shared" si="278"/>
        <v>#REF!</v>
      </c>
      <c r="R333" s="22" t="e">
        <f t="shared" si="278"/>
        <v>#REF!</v>
      </c>
      <c r="S333" s="22" t="e">
        <f t="shared" si="278"/>
        <v>#REF!</v>
      </c>
      <c r="U333" s="11" t="e">
        <f>#REF!</f>
        <v>#REF!</v>
      </c>
      <c r="W333" s="11" t="e">
        <f t="shared" si="210"/>
        <v>#REF!</v>
      </c>
      <c r="X333" s="11" t="e">
        <f t="shared" si="211"/>
        <v>#REF!</v>
      </c>
      <c r="Y333" s="11" t="e">
        <f t="shared" si="212"/>
        <v>#REF!</v>
      </c>
      <c r="Z333" s="11" t="e">
        <f t="shared" si="213"/>
        <v>#REF!</v>
      </c>
      <c r="AA333" s="11" t="e">
        <f t="shared" si="214"/>
        <v>#REF!</v>
      </c>
    </row>
    <row r="334" spans="1:27" s="3" customFormat="1" x14ac:dyDescent="0.2">
      <c r="A334" s="4"/>
      <c r="B334" s="9">
        <v>6</v>
      </c>
      <c r="C334" s="9" t="s">
        <v>36</v>
      </c>
      <c r="D334" s="10" t="s">
        <v>23</v>
      </c>
      <c r="E334" s="20" t="s">
        <v>18</v>
      </c>
      <c r="F334" s="10" t="str">
        <f t="shared" si="183"/>
        <v>6SELECONOMY</v>
      </c>
      <c r="G334" s="11">
        <v>25.460999999999999</v>
      </c>
      <c r="H334" s="11">
        <v>25.460999999999999</v>
      </c>
      <c r="I334" s="11">
        <v>25.460999999999999</v>
      </c>
      <c r="J334" s="11">
        <v>25.460999999999999</v>
      </c>
      <c r="K334" s="11">
        <v>25.460999999999999</v>
      </c>
      <c r="M334" s="11">
        <f t="shared" si="270"/>
        <v>11.61</v>
      </c>
      <c r="O334" s="11" t="e">
        <f>#REF!</f>
        <v>#REF!</v>
      </c>
      <c r="P334" s="22" t="e">
        <f t="shared" ref="P334:S334" si="279">O334</f>
        <v>#REF!</v>
      </c>
      <c r="Q334" s="22" t="e">
        <f t="shared" si="279"/>
        <v>#REF!</v>
      </c>
      <c r="R334" s="22" t="e">
        <f t="shared" si="279"/>
        <v>#REF!</v>
      </c>
      <c r="S334" s="22" t="e">
        <f t="shared" si="279"/>
        <v>#REF!</v>
      </c>
      <c r="U334" s="11" t="e">
        <f>#REF!</f>
        <v>#REF!</v>
      </c>
      <c r="W334" s="11" t="e">
        <f t="shared" si="210"/>
        <v>#REF!</v>
      </c>
      <c r="X334" s="11" t="e">
        <f t="shared" si="211"/>
        <v>#REF!</v>
      </c>
      <c r="Y334" s="11" t="e">
        <f t="shared" si="212"/>
        <v>#REF!</v>
      </c>
      <c r="Z334" s="11" t="e">
        <f t="shared" si="213"/>
        <v>#REF!</v>
      </c>
      <c r="AA334" s="11" t="e">
        <f t="shared" si="214"/>
        <v>#REF!</v>
      </c>
    </row>
    <row r="335" spans="1:27" s="3" customFormat="1" x14ac:dyDescent="0.2">
      <c r="A335" s="4"/>
      <c r="B335" s="9">
        <v>7</v>
      </c>
      <c r="C335" s="9" t="s">
        <v>36</v>
      </c>
      <c r="D335" s="10" t="s">
        <v>23</v>
      </c>
      <c r="E335" s="20" t="s">
        <v>18</v>
      </c>
      <c r="F335" s="10" t="str">
        <f t="shared" si="183"/>
        <v>7SELECONOMY</v>
      </c>
      <c r="G335" s="11">
        <v>28.443749999999998</v>
      </c>
      <c r="H335" s="11">
        <v>28.443749999999998</v>
      </c>
      <c r="I335" s="11">
        <v>28.443749999999998</v>
      </c>
      <c r="J335" s="11">
        <v>28.443749999999998</v>
      </c>
      <c r="K335" s="11">
        <v>28.443749999999998</v>
      </c>
      <c r="M335" s="11">
        <f t="shared" si="270"/>
        <v>11.61</v>
      </c>
      <c r="O335" s="11" t="e">
        <f>#REF!</f>
        <v>#REF!</v>
      </c>
      <c r="P335" s="22" t="e">
        <f t="shared" ref="P335:S335" si="280">O335</f>
        <v>#REF!</v>
      </c>
      <c r="Q335" s="22" t="e">
        <f t="shared" si="280"/>
        <v>#REF!</v>
      </c>
      <c r="R335" s="22" t="e">
        <f t="shared" si="280"/>
        <v>#REF!</v>
      </c>
      <c r="S335" s="22" t="e">
        <f t="shared" si="280"/>
        <v>#REF!</v>
      </c>
      <c r="U335" s="11" t="e">
        <f>#REF!</f>
        <v>#REF!</v>
      </c>
      <c r="W335" s="11" t="e">
        <f t="shared" si="210"/>
        <v>#REF!</v>
      </c>
      <c r="X335" s="11" t="e">
        <f t="shared" si="211"/>
        <v>#REF!</v>
      </c>
      <c r="Y335" s="11" t="e">
        <f t="shared" si="212"/>
        <v>#REF!</v>
      </c>
      <c r="Z335" s="11" t="e">
        <f t="shared" si="213"/>
        <v>#REF!</v>
      </c>
      <c r="AA335" s="11" t="e">
        <f t="shared" si="214"/>
        <v>#REF!</v>
      </c>
    </row>
    <row r="336" spans="1:27" s="3" customFormat="1" x14ac:dyDescent="0.2">
      <c r="A336" s="4"/>
      <c r="B336" s="9">
        <v>8</v>
      </c>
      <c r="C336" s="9" t="s">
        <v>36</v>
      </c>
      <c r="D336" s="10" t="s">
        <v>23</v>
      </c>
      <c r="E336" s="20" t="s">
        <v>18</v>
      </c>
      <c r="F336" s="10" t="str">
        <f t="shared" si="183"/>
        <v>8SELECONOMY</v>
      </c>
      <c r="G336" s="11">
        <v>41.420249999999996</v>
      </c>
      <c r="H336" s="11">
        <v>41.420249999999996</v>
      </c>
      <c r="I336" s="11">
        <v>41.420249999999996</v>
      </c>
      <c r="J336" s="11">
        <v>41.420249999999996</v>
      </c>
      <c r="K336" s="11">
        <v>41.420249999999996</v>
      </c>
      <c r="M336" s="11">
        <f t="shared" si="270"/>
        <v>11.61</v>
      </c>
      <c r="O336" s="11" t="e">
        <f>#REF!</f>
        <v>#REF!</v>
      </c>
      <c r="P336" s="22" t="e">
        <f t="shared" ref="P336:S336" si="281">O336</f>
        <v>#REF!</v>
      </c>
      <c r="Q336" s="22" t="e">
        <f t="shared" si="281"/>
        <v>#REF!</v>
      </c>
      <c r="R336" s="22" t="e">
        <f t="shared" si="281"/>
        <v>#REF!</v>
      </c>
      <c r="S336" s="22" t="e">
        <f t="shared" si="281"/>
        <v>#REF!</v>
      </c>
      <c r="U336" s="11" t="e">
        <f>#REF!</f>
        <v>#REF!</v>
      </c>
      <c r="W336" s="11" t="e">
        <f t="shared" si="210"/>
        <v>#REF!</v>
      </c>
      <c r="X336" s="11" t="e">
        <f t="shared" si="211"/>
        <v>#REF!</v>
      </c>
      <c r="Y336" s="11" t="e">
        <f t="shared" si="212"/>
        <v>#REF!</v>
      </c>
      <c r="Z336" s="11" t="e">
        <f t="shared" si="213"/>
        <v>#REF!</v>
      </c>
      <c r="AA336" s="11" t="e">
        <f t="shared" si="214"/>
        <v>#REF!</v>
      </c>
    </row>
    <row r="337" spans="1:27" s="3" customFormat="1" x14ac:dyDescent="0.2">
      <c r="A337" s="4"/>
      <c r="B337" s="9">
        <v>9</v>
      </c>
      <c r="C337" s="9" t="s">
        <v>36</v>
      </c>
      <c r="D337" s="10" t="s">
        <v>23</v>
      </c>
      <c r="E337" s="20" t="s">
        <v>18</v>
      </c>
      <c r="F337" s="10" t="str">
        <f t="shared" si="183"/>
        <v>9SELECONOMY</v>
      </c>
      <c r="G337" s="11">
        <v>71.083749999999995</v>
      </c>
      <c r="H337" s="11">
        <v>71.083749999999995</v>
      </c>
      <c r="I337" s="11">
        <v>71.083749999999995</v>
      </c>
      <c r="J337" s="11">
        <v>71.083749999999995</v>
      </c>
      <c r="K337" s="11">
        <v>71.083749999999995</v>
      </c>
      <c r="M337" s="11">
        <f t="shared" si="270"/>
        <v>11.61</v>
      </c>
      <c r="O337" s="11" t="e">
        <f>#REF!</f>
        <v>#REF!</v>
      </c>
      <c r="P337" s="22" t="e">
        <f t="shared" ref="P337:S337" si="282">O337</f>
        <v>#REF!</v>
      </c>
      <c r="Q337" s="22" t="e">
        <f t="shared" si="282"/>
        <v>#REF!</v>
      </c>
      <c r="R337" s="22" t="e">
        <f t="shared" si="282"/>
        <v>#REF!</v>
      </c>
      <c r="S337" s="22" t="e">
        <f t="shared" si="282"/>
        <v>#REF!</v>
      </c>
      <c r="U337" s="11" t="e">
        <f>#REF!</f>
        <v>#REF!</v>
      </c>
      <c r="W337" s="11" t="e">
        <f t="shared" si="210"/>
        <v>#REF!</v>
      </c>
      <c r="X337" s="11" t="e">
        <f t="shared" si="211"/>
        <v>#REF!</v>
      </c>
      <c r="Y337" s="11" t="e">
        <f t="shared" si="212"/>
        <v>#REF!</v>
      </c>
      <c r="Z337" s="11" t="e">
        <f t="shared" si="213"/>
        <v>#REF!</v>
      </c>
      <c r="AA337" s="11" t="e">
        <f t="shared" si="214"/>
        <v>#REF!</v>
      </c>
    </row>
    <row r="338" spans="1:27" s="3" customFormat="1" x14ac:dyDescent="0.2">
      <c r="A338" s="4"/>
      <c r="B338" s="9">
        <v>10</v>
      </c>
      <c r="C338" s="9" t="s">
        <v>36</v>
      </c>
      <c r="D338" s="10" t="s">
        <v>23</v>
      </c>
      <c r="E338" s="20" t="s">
        <v>18</v>
      </c>
      <c r="F338" s="10" t="str">
        <f t="shared" si="183"/>
        <v>10SELECONOMY</v>
      </c>
      <c r="G338" s="11">
        <v>73.8</v>
      </c>
      <c r="H338" s="11">
        <v>73.8</v>
      </c>
      <c r="I338" s="11">
        <v>73.8</v>
      </c>
      <c r="J338" s="11">
        <v>73.8</v>
      </c>
      <c r="K338" s="11">
        <v>73.8</v>
      </c>
      <c r="M338" s="11">
        <f t="shared" si="270"/>
        <v>11.61</v>
      </c>
      <c r="O338" s="11" t="e">
        <f>#REF!</f>
        <v>#REF!</v>
      </c>
      <c r="P338" s="22" t="e">
        <f t="shared" ref="P338:S338" si="283">O338</f>
        <v>#REF!</v>
      </c>
      <c r="Q338" s="22" t="e">
        <f t="shared" si="283"/>
        <v>#REF!</v>
      </c>
      <c r="R338" s="22" t="e">
        <f t="shared" si="283"/>
        <v>#REF!</v>
      </c>
      <c r="S338" s="22" t="e">
        <f t="shared" si="283"/>
        <v>#REF!</v>
      </c>
      <c r="U338" s="11" t="e">
        <f>#REF!</f>
        <v>#REF!</v>
      </c>
      <c r="W338" s="11" t="e">
        <f t="shared" si="210"/>
        <v>#REF!</v>
      </c>
      <c r="X338" s="11" t="e">
        <f t="shared" si="211"/>
        <v>#REF!</v>
      </c>
      <c r="Y338" s="11" t="e">
        <f t="shared" si="212"/>
        <v>#REF!</v>
      </c>
      <c r="Z338" s="11" t="e">
        <f t="shared" si="213"/>
        <v>#REF!</v>
      </c>
      <c r="AA338" s="11" t="e">
        <f t="shared" si="214"/>
        <v>#REF!</v>
      </c>
    </row>
    <row r="339" spans="1:27" s="3" customFormat="1" x14ac:dyDescent="0.2">
      <c r="A339" s="4"/>
      <c r="B339" s="9">
        <v>11</v>
      </c>
      <c r="C339" s="9" t="s">
        <v>36</v>
      </c>
      <c r="D339" s="10" t="s">
        <v>23</v>
      </c>
      <c r="E339" s="20" t="s">
        <v>18</v>
      </c>
      <c r="F339" s="10" t="str">
        <f t="shared" si="183"/>
        <v>11SELECONOMY</v>
      </c>
      <c r="G339" s="11">
        <v>79.898749999999993</v>
      </c>
      <c r="H339" s="11">
        <v>79.898749999999993</v>
      </c>
      <c r="I339" s="11">
        <v>79.898749999999993</v>
      </c>
      <c r="J339" s="11">
        <v>79.898749999999993</v>
      </c>
      <c r="K339" s="11">
        <v>79.898749999999993</v>
      </c>
      <c r="M339" s="11">
        <f t="shared" si="270"/>
        <v>11.61</v>
      </c>
      <c r="O339" s="11" t="e">
        <f>#REF!</f>
        <v>#REF!</v>
      </c>
      <c r="P339" s="22" t="e">
        <f t="shared" ref="P339:S339" si="284">O339</f>
        <v>#REF!</v>
      </c>
      <c r="Q339" s="22" t="e">
        <f t="shared" si="284"/>
        <v>#REF!</v>
      </c>
      <c r="R339" s="22" t="e">
        <f t="shared" si="284"/>
        <v>#REF!</v>
      </c>
      <c r="S339" s="22" t="e">
        <f t="shared" si="284"/>
        <v>#REF!</v>
      </c>
      <c r="U339" s="11" t="e">
        <f>#REF!</f>
        <v>#REF!</v>
      </c>
      <c r="W339" s="11" t="e">
        <f t="shared" si="210"/>
        <v>#REF!</v>
      </c>
      <c r="X339" s="11" t="e">
        <f t="shared" si="211"/>
        <v>#REF!</v>
      </c>
      <c r="Y339" s="11" t="e">
        <f t="shared" si="212"/>
        <v>#REF!</v>
      </c>
      <c r="Z339" s="11" t="e">
        <f t="shared" si="213"/>
        <v>#REF!</v>
      </c>
      <c r="AA339" s="11" t="e">
        <f t="shared" si="214"/>
        <v>#REF!</v>
      </c>
    </row>
    <row r="340" spans="1:27" s="3" customFormat="1" x14ac:dyDescent="0.2">
      <c r="A340" s="4"/>
      <c r="B340" s="9">
        <v>12</v>
      </c>
      <c r="C340" s="9" t="s">
        <v>36</v>
      </c>
      <c r="D340" s="10" t="s">
        <v>23</v>
      </c>
      <c r="E340" s="20" t="s">
        <v>18</v>
      </c>
      <c r="F340" s="10" t="str">
        <f t="shared" si="183"/>
        <v>12SELECONOMY</v>
      </c>
      <c r="G340" s="11">
        <v>126.45424999999999</v>
      </c>
      <c r="H340" s="11">
        <v>126.45424999999999</v>
      </c>
      <c r="I340" s="11">
        <v>126.45424999999999</v>
      </c>
      <c r="J340" s="11">
        <v>126.45424999999999</v>
      </c>
      <c r="K340" s="11">
        <v>126.45424999999999</v>
      </c>
      <c r="M340" s="11">
        <f t="shared" si="270"/>
        <v>11.61</v>
      </c>
      <c r="O340" s="11" t="e">
        <f>#REF!</f>
        <v>#REF!</v>
      </c>
      <c r="P340" s="22" t="e">
        <f t="shared" ref="P340:S340" si="285">O340</f>
        <v>#REF!</v>
      </c>
      <c r="Q340" s="22" t="e">
        <f t="shared" si="285"/>
        <v>#REF!</v>
      </c>
      <c r="R340" s="22" t="e">
        <f t="shared" si="285"/>
        <v>#REF!</v>
      </c>
      <c r="S340" s="22" t="e">
        <f t="shared" si="285"/>
        <v>#REF!</v>
      </c>
      <c r="U340" s="11" t="e">
        <f>#REF!</f>
        <v>#REF!</v>
      </c>
      <c r="W340" s="11" t="e">
        <f t="shared" si="210"/>
        <v>#REF!</v>
      </c>
      <c r="X340" s="11" t="e">
        <f t="shared" si="211"/>
        <v>#REF!</v>
      </c>
      <c r="Y340" s="11" t="e">
        <f t="shared" si="212"/>
        <v>#REF!</v>
      </c>
      <c r="Z340" s="11" t="e">
        <f t="shared" si="213"/>
        <v>#REF!</v>
      </c>
      <c r="AA340" s="11" t="e">
        <f t="shared" si="214"/>
        <v>#REF!</v>
      </c>
    </row>
    <row r="341" spans="1:27" s="3" customFormat="1" x14ac:dyDescent="0.2">
      <c r="A341" s="4"/>
      <c r="B341" s="9">
        <v>13</v>
      </c>
      <c r="C341" s="9" t="s">
        <v>36</v>
      </c>
      <c r="D341" s="10" t="s">
        <v>23</v>
      </c>
      <c r="E341" s="20" t="s">
        <v>18</v>
      </c>
      <c r="F341" s="10" t="str">
        <f t="shared" ref="F341:F342" si="286">B341&amp;D341&amp;E341</f>
        <v>13SELECONOMY</v>
      </c>
      <c r="G341" s="11">
        <v>229.59999999999997</v>
      </c>
      <c r="H341" s="11">
        <v>229.59999999999997</v>
      </c>
      <c r="I341" s="11">
        <v>229.59999999999997</v>
      </c>
      <c r="J341" s="11">
        <v>229.59999999999997</v>
      </c>
      <c r="K341" s="11">
        <v>229.59999999999997</v>
      </c>
      <c r="M341" s="11">
        <f t="shared" si="270"/>
        <v>11.61</v>
      </c>
      <c r="O341" s="11" t="e">
        <f>#REF!</f>
        <v>#REF!</v>
      </c>
      <c r="P341" s="22" t="e">
        <f t="shared" ref="P341:P342" si="287">O341</f>
        <v>#REF!</v>
      </c>
      <c r="Q341" s="22" t="e">
        <f t="shared" ref="Q341:Q342" si="288">P341</f>
        <v>#REF!</v>
      </c>
      <c r="R341" s="22" t="e">
        <f t="shared" ref="R341:R342" si="289">Q341</f>
        <v>#REF!</v>
      </c>
      <c r="S341" s="22" t="e">
        <f t="shared" ref="S341:S342" si="290">R341</f>
        <v>#REF!</v>
      </c>
      <c r="U341" s="11" t="e">
        <f>#REF!</f>
        <v>#REF!</v>
      </c>
      <c r="W341" s="11" t="e">
        <f t="shared" ref="W341:W342" si="291">G341+$M341+O341+$U341</f>
        <v>#REF!</v>
      </c>
      <c r="X341" s="11" t="e">
        <f t="shared" ref="X341:X342" si="292">H341+$M341+P341+$U341</f>
        <v>#REF!</v>
      </c>
      <c r="Y341" s="11" t="e">
        <f t="shared" ref="Y341:Y342" si="293">I341+$M341+Q341+$U341</f>
        <v>#REF!</v>
      </c>
      <c r="Z341" s="11" t="e">
        <f t="shared" ref="Z341:Z342" si="294">J341+$M341+R341+$U341</f>
        <v>#REF!</v>
      </c>
      <c r="AA341" s="11" t="e">
        <f t="shared" ref="AA341:AA342" si="295">K341+$M341+S341+$U341</f>
        <v>#REF!</v>
      </c>
    </row>
    <row r="342" spans="1:27" s="3" customFormat="1" x14ac:dyDescent="0.2">
      <c r="A342" s="4"/>
      <c r="B342" s="9">
        <v>14</v>
      </c>
      <c r="C342" s="9" t="s">
        <v>36</v>
      </c>
      <c r="D342" s="10" t="s">
        <v>23</v>
      </c>
      <c r="E342" s="20" t="s">
        <v>18</v>
      </c>
      <c r="F342" s="10" t="str">
        <f t="shared" si="286"/>
        <v>14SELECONOMY</v>
      </c>
      <c r="G342" s="11">
        <v>254.2</v>
      </c>
      <c r="H342" s="11">
        <v>254.2</v>
      </c>
      <c r="I342" s="11">
        <v>254.2</v>
      </c>
      <c r="J342" s="11">
        <v>254.2</v>
      </c>
      <c r="K342" s="11">
        <v>254.2</v>
      </c>
      <c r="M342" s="11">
        <f t="shared" si="270"/>
        <v>11.61</v>
      </c>
      <c r="O342" s="11" t="e">
        <f>#REF!</f>
        <v>#REF!</v>
      </c>
      <c r="P342" s="22" t="e">
        <f t="shared" si="287"/>
        <v>#REF!</v>
      </c>
      <c r="Q342" s="22" t="e">
        <f t="shared" si="288"/>
        <v>#REF!</v>
      </c>
      <c r="R342" s="22" t="e">
        <f t="shared" si="289"/>
        <v>#REF!</v>
      </c>
      <c r="S342" s="22" t="e">
        <f t="shared" si="290"/>
        <v>#REF!</v>
      </c>
      <c r="U342" s="11" t="e">
        <f>#REF!</f>
        <v>#REF!</v>
      </c>
      <c r="W342" s="11" t="e">
        <f t="shared" si="291"/>
        <v>#REF!</v>
      </c>
      <c r="X342" s="11" t="e">
        <f t="shared" si="292"/>
        <v>#REF!</v>
      </c>
      <c r="Y342" s="11" t="e">
        <f t="shared" si="293"/>
        <v>#REF!</v>
      </c>
      <c r="Z342" s="11" t="e">
        <f t="shared" si="294"/>
        <v>#REF!</v>
      </c>
      <c r="AA342" s="11" t="e">
        <f t="shared" si="295"/>
        <v>#REF!</v>
      </c>
    </row>
    <row r="343" spans="1:27" s="3" customFormat="1" x14ac:dyDescent="0.2">
      <c r="A343" s="4"/>
      <c r="B343" s="9">
        <v>21</v>
      </c>
      <c r="C343" s="9" t="s">
        <v>37</v>
      </c>
      <c r="D343" s="10" t="s">
        <v>23</v>
      </c>
      <c r="E343" s="20" t="s">
        <v>18</v>
      </c>
      <c r="F343" s="10" t="str">
        <f t="shared" si="183"/>
        <v>21SELECONOMY</v>
      </c>
      <c r="G343" s="12">
        <v>10.618999999999998</v>
      </c>
      <c r="H343" s="12">
        <v>10.618999999999998</v>
      </c>
      <c r="I343" s="12">
        <v>10.618999999999998</v>
      </c>
      <c r="J343" s="12">
        <v>10.618999999999998</v>
      </c>
      <c r="K343" s="12">
        <v>10.618999999999998</v>
      </c>
      <c r="M343" s="12">
        <f t="shared" si="270"/>
        <v>11.51</v>
      </c>
      <c r="O343" s="12" t="e">
        <f>#REF!</f>
        <v>#REF!</v>
      </c>
      <c r="P343" s="22" t="e">
        <f t="shared" ref="P343:S343" si="296">O343</f>
        <v>#REF!</v>
      </c>
      <c r="Q343" s="22" t="e">
        <f t="shared" si="296"/>
        <v>#REF!</v>
      </c>
      <c r="R343" s="22" t="e">
        <f t="shared" si="296"/>
        <v>#REF!</v>
      </c>
      <c r="S343" s="22" t="e">
        <f t="shared" si="296"/>
        <v>#REF!</v>
      </c>
      <c r="U343" s="12" t="e">
        <f>#REF!</f>
        <v>#REF!</v>
      </c>
      <c r="W343" s="12" t="e">
        <f t="shared" si="210"/>
        <v>#REF!</v>
      </c>
      <c r="X343" s="12" t="e">
        <f t="shared" si="211"/>
        <v>#REF!</v>
      </c>
      <c r="Y343" s="12" t="e">
        <f t="shared" si="212"/>
        <v>#REF!</v>
      </c>
      <c r="Z343" s="12" t="e">
        <f t="shared" si="213"/>
        <v>#REF!</v>
      </c>
      <c r="AA343" s="12" t="e">
        <f t="shared" si="214"/>
        <v>#REF!</v>
      </c>
    </row>
    <row r="344" spans="1:27" s="3" customFormat="1" x14ac:dyDescent="0.2">
      <c r="A344" s="4"/>
      <c r="B344" s="9">
        <v>22</v>
      </c>
      <c r="C344" s="9" t="s">
        <v>37</v>
      </c>
      <c r="D344" s="10" t="s">
        <v>23</v>
      </c>
      <c r="E344" s="20" t="s">
        <v>18</v>
      </c>
      <c r="F344" s="10" t="str">
        <f t="shared" si="183"/>
        <v>22SELECONOMY</v>
      </c>
      <c r="G344" s="12">
        <v>13.6325</v>
      </c>
      <c r="H344" s="12">
        <v>13.6325</v>
      </c>
      <c r="I344" s="12">
        <v>13.6325</v>
      </c>
      <c r="J344" s="12">
        <v>13.6325</v>
      </c>
      <c r="K344" s="12">
        <v>13.6325</v>
      </c>
      <c r="M344" s="12">
        <f t="shared" si="270"/>
        <v>11.51</v>
      </c>
      <c r="O344" s="12" t="e">
        <f>#REF!</f>
        <v>#REF!</v>
      </c>
      <c r="P344" s="22" t="e">
        <f t="shared" ref="P344:S344" si="297">O344</f>
        <v>#REF!</v>
      </c>
      <c r="Q344" s="22" t="e">
        <f t="shared" si="297"/>
        <v>#REF!</v>
      </c>
      <c r="R344" s="22" t="e">
        <f t="shared" si="297"/>
        <v>#REF!</v>
      </c>
      <c r="S344" s="22" t="e">
        <f t="shared" si="297"/>
        <v>#REF!</v>
      </c>
      <c r="U344" s="12" t="e">
        <f>#REF!</f>
        <v>#REF!</v>
      </c>
      <c r="W344" s="12" t="e">
        <f t="shared" si="210"/>
        <v>#REF!</v>
      </c>
      <c r="X344" s="12" t="e">
        <f t="shared" si="211"/>
        <v>#REF!</v>
      </c>
      <c r="Y344" s="12" t="e">
        <f t="shared" si="212"/>
        <v>#REF!</v>
      </c>
      <c r="Z344" s="12" t="e">
        <f t="shared" si="213"/>
        <v>#REF!</v>
      </c>
      <c r="AA344" s="12" t="e">
        <f t="shared" si="214"/>
        <v>#REF!</v>
      </c>
    </row>
    <row r="345" spans="1:27" s="3" customFormat="1" x14ac:dyDescent="0.2">
      <c r="A345" s="4"/>
      <c r="B345" s="9">
        <v>23</v>
      </c>
      <c r="C345" s="9" t="s">
        <v>37</v>
      </c>
      <c r="D345" s="10" t="s">
        <v>23</v>
      </c>
      <c r="E345" s="20" t="s">
        <v>18</v>
      </c>
      <c r="F345" s="10" t="str">
        <f t="shared" si="183"/>
        <v>23SELECONOMY</v>
      </c>
      <c r="G345" s="12">
        <v>14.544749999999999</v>
      </c>
      <c r="H345" s="12">
        <v>14.544749999999999</v>
      </c>
      <c r="I345" s="12">
        <v>14.544749999999999</v>
      </c>
      <c r="J345" s="12">
        <v>14.544749999999999</v>
      </c>
      <c r="K345" s="12">
        <v>14.544749999999999</v>
      </c>
      <c r="M345" s="12">
        <f t="shared" si="270"/>
        <v>11.51</v>
      </c>
      <c r="O345" s="12" t="e">
        <f>#REF!</f>
        <v>#REF!</v>
      </c>
      <c r="P345" s="22" t="e">
        <f t="shared" ref="P345:S345" si="298">O345</f>
        <v>#REF!</v>
      </c>
      <c r="Q345" s="22" t="e">
        <f t="shared" si="298"/>
        <v>#REF!</v>
      </c>
      <c r="R345" s="22" t="e">
        <f t="shared" si="298"/>
        <v>#REF!</v>
      </c>
      <c r="S345" s="22" t="e">
        <f t="shared" si="298"/>
        <v>#REF!</v>
      </c>
      <c r="U345" s="12" t="e">
        <f>#REF!</f>
        <v>#REF!</v>
      </c>
      <c r="W345" s="12" t="e">
        <f t="shared" si="210"/>
        <v>#REF!</v>
      </c>
      <c r="X345" s="12" t="e">
        <f t="shared" si="211"/>
        <v>#REF!</v>
      </c>
      <c r="Y345" s="12" t="e">
        <f t="shared" si="212"/>
        <v>#REF!</v>
      </c>
      <c r="Z345" s="12" t="e">
        <f t="shared" si="213"/>
        <v>#REF!</v>
      </c>
      <c r="AA345" s="12" t="e">
        <f t="shared" si="214"/>
        <v>#REF!</v>
      </c>
    </row>
    <row r="346" spans="1:27" s="3" customFormat="1" x14ac:dyDescent="0.2">
      <c r="A346" s="4"/>
      <c r="B346" s="9">
        <v>24</v>
      </c>
      <c r="C346" s="9" t="s">
        <v>37</v>
      </c>
      <c r="D346" s="10" t="s">
        <v>23</v>
      </c>
      <c r="E346" s="20" t="s">
        <v>18</v>
      </c>
      <c r="F346" s="10" t="str">
        <f t="shared" si="183"/>
        <v>24SELECONOMY</v>
      </c>
      <c r="G346" s="12">
        <v>15.85675</v>
      </c>
      <c r="H346" s="12">
        <v>15.85675</v>
      </c>
      <c r="I346" s="12">
        <v>15.85675</v>
      </c>
      <c r="J346" s="12">
        <v>15.85675</v>
      </c>
      <c r="K346" s="12">
        <v>15.85675</v>
      </c>
      <c r="M346" s="12">
        <f t="shared" si="270"/>
        <v>11.51</v>
      </c>
      <c r="O346" s="12" t="e">
        <f>#REF!</f>
        <v>#REF!</v>
      </c>
      <c r="P346" s="22" t="e">
        <f t="shared" ref="P346:S346" si="299">O346</f>
        <v>#REF!</v>
      </c>
      <c r="Q346" s="22" t="e">
        <f t="shared" si="299"/>
        <v>#REF!</v>
      </c>
      <c r="R346" s="22" t="e">
        <f t="shared" si="299"/>
        <v>#REF!</v>
      </c>
      <c r="S346" s="22" t="e">
        <f t="shared" si="299"/>
        <v>#REF!</v>
      </c>
      <c r="U346" s="12" t="e">
        <f>#REF!</f>
        <v>#REF!</v>
      </c>
      <c r="W346" s="12" t="e">
        <f t="shared" ref="W346:W364" si="300">G346+$M346+O346+$U346</f>
        <v>#REF!</v>
      </c>
      <c r="X346" s="12" t="e">
        <f t="shared" ref="X346:X364" si="301">H346+$M346+P346+$U346</f>
        <v>#REF!</v>
      </c>
      <c r="Y346" s="12" t="e">
        <f t="shared" ref="Y346:Y364" si="302">I346+$M346+Q346+$U346</f>
        <v>#REF!</v>
      </c>
      <c r="Z346" s="12" t="e">
        <f t="shared" ref="Z346:Z364" si="303">J346+$M346+R346+$U346</f>
        <v>#REF!</v>
      </c>
      <c r="AA346" s="12" t="e">
        <f t="shared" ref="AA346:AA364" si="304">K346+$M346+S346+$U346</f>
        <v>#REF!</v>
      </c>
    </row>
    <row r="347" spans="1:27" s="3" customFormat="1" x14ac:dyDescent="0.2">
      <c r="A347" s="4"/>
      <c r="B347" s="9">
        <v>25</v>
      </c>
      <c r="C347" s="9" t="s">
        <v>37</v>
      </c>
      <c r="D347" s="10" t="s">
        <v>23</v>
      </c>
      <c r="E347" s="20" t="s">
        <v>18</v>
      </c>
      <c r="F347" s="10" t="str">
        <f t="shared" ref="F347:F439" si="305">B347&amp;D347&amp;E347</f>
        <v>25SELECONOMY</v>
      </c>
      <c r="G347" s="12">
        <v>16.030999999999999</v>
      </c>
      <c r="H347" s="12">
        <v>16.030999999999999</v>
      </c>
      <c r="I347" s="12">
        <v>16.030999999999999</v>
      </c>
      <c r="J347" s="12">
        <v>16.030999999999999</v>
      </c>
      <c r="K347" s="12">
        <v>16.030999999999999</v>
      </c>
      <c r="M347" s="12">
        <f t="shared" si="270"/>
        <v>11.51</v>
      </c>
      <c r="O347" s="12" t="e">
        <f>#REF!</f>
        <v>#REF!</v>
      </c>
      <c r="P347" s="22" t="e">
        <f t="shared" ref="P347:S347" si="306">O347</f>
        <v>#REF!</v>
      </c>
      <c r="Q347" s="22" t="e">
        <f t="shared" si="306"/>
        <v>#REF!</v>
      </c>
      <c r="R347" s="22" t="e">
        <f t="shared" si="306"/>
        <v>#REF!</v>
      </c>
      <c r="S347" s="22" t="e">
        <f t="shared" si="306"/>
        <v>#REF!</v>
      </c>
      <c r="U347" s="12" t="e">
        <f>#REF!</f>
        <v>#REF!</v>
      </c>
      <c r="W347" s="12" t="e">
        <f t="shared" si="300"/>
        <v>#REF!</v>
      </c>
      <c r="X347" s="12" t="e">
        <f t="shared" si="301"/>
        <v>#REF!</v>
      </c>
      <c r="Y347" s="12" t="e">
        <f t="shared" si="302"/>
        <v>#REF!</v>
      </c>
      <c r="Z347" s="12" t="e">
        <f t="shared" si="303"/>
        <v>#REF!</v>
      </c>
      <c r="AA347" s="12" t="e">
        <f t="shared" si="304"/>
        <v>#REF!</v>
      </c>
    </row>
    <row r="348" spans="1:27" s="3" customFormat="1" x14ac:dyDescent="0.2">
      <c r="A348" s="4"/>
      <c r="B348" s="9">
        <v>26</v>
      </c>
      <c r="C348" s="9" t="s">
        <v>37</v>
      </c>
      <c r="D348" s="10" t="s">
        <v>23</v>
      </c>
      <c r="E348" s="20" t="s">
        <v>18</v>
      </c>
      <c r="F348" s="10" t="str">
        <f t="shared" si="305"/>
        <v>26SELECONOMY</v>
      </c>
      <c r="G348" s="12">
        <v>17.968250000000001</v>
      </c>
      <c r="H348" s="12">
        <v>17.968250000000001</v>
      </c>
      <c r="I348" s="12">
        <v>17.968250000000001</v>
      </c>
      <c r="J348" s="12">
        <v>17.968250000000001</v>
      </c>
      <c r="K348" s="12">
        <v>17.968250000000001</v>
      </c>
      <c r="M348" s="12">
        <f t="shared" si="270"/>
        <v>11.51</v>
      </c>
      <c r="O348" s="12" t="e">
        <f>#REF!</f>
        <v>#REF!</v>
      </c>
      <c r="P348" s="22" t="e">
        <f t="shared" ref="P348:S348" si="307">O348</f>
        <v>#REF!</v>
      </c>
      <c r="Q348" s="22" t="e">
        <f t="shared" si="307"/>
        <v>#REF!</v>
      </c>
      <c r="R348" s="22" t="e">
        <f t="shared" si="307"/>
        <v>#REF!</v>
      </c>
      <c r="S348" s="22" t="e">
        <f t="shared" si="307"/>
        <v>#REF!</v>
      </c>
      <c r="U348" s="12" t="e">
        <f>#REF!</f>
        <v>#REF!</v>
      </c>
      <c r="W348" s="12" t="e">
        <f t="shared" si="300"/>
        <v>#REF!</v>
      </c>
      <c r="X348" s="12" t="e">
        <f t="shared" si="301"/>
        <v>#REF!</v>
      </c>
      <c r="Y348" s="12" t="e">
        <f t="shared" si="302"/>
        <v>#REF!</v>
      </c>
      <c r="Z348" s="12" t="e">
        <f t="shared" si="303"/>
        <v>#REF!</v>
      </c>
      <c r="AA348" s="12" t="e">
        <f t="shared" si="304"/>
        <v>#REF!</v>
      </c>
    </row>
    <row r="349" spans="1:27" s="3" customFormat="1" x14ac:dyDescent="0.2">
      <c r="A349" s="4"/>
      <c r="B349" s="9">
        <v>27</v>
      </c>
      <c r="C349" s="9" t="s">
        <v>37</v>
      </c>
      <c r="D349" s="10" t="s">
        <v>23</v>
      </c>
      <c r="E349" s="20" t="s">
        <v>18</v>
      </c>
      <c r="F349" s="10" t="str">
        <f t="shared" si="305"/>
        <v>27SELECONOMY</v>
      </c>
      <c r="G349" s="12">
        <v>68.03949999999999</v>
      </c>
      <c r="H349" s="12">
        <v>68.03949999999999</v>
      </c>
      <c r="I349" s="12">
        <v>68.03949999999999</v>
      </c>
      <c r="J349" s="12">
        <v>68.03949999999999</v>
      </c>
      <c r="K349" s="12">
        <v>68.03949999999999</v>
      </c>
      <c r="M349" s="12">
        <f t="shared" si="270"/>
        <v>11.51</v>
      </c>
      <c r="O349" s="12" t="e">
        <f>#REF!</f>
        <v>#REF!</v>
      </c>
      <c r="P349" s="22" t="e">
        <f t="shared" ref="P349:S349" si="308">O349</f>
        <v>#REF!</v>
      </c>
      <c r="Q349" s="22" t="e">
        <f t="shared" si="308"/>
        <v>#REF!</v>
      </c>
      <c r="R349" s="22" t="e">
        <f t="shared" si="308"/>
        <v>#REF!</v>
      </c>
      <c r="S349" s="22" t="e">
        <f t="shared" si="308"/>
        <v>#REF!</v>
      </c>
      <c r="U349" s="12" t="e">
        <f>#REF!</f>
        <v>#REF!</v>
      </c>
      <c r="W349" s="12" t="e">
        <f t="shared" si="300"/>
        <v>#REF!</v>
      </c>
      <c r="X349" s="12" t="e">
        <f t="shared" si="301"/>
        <v>#REF!</v>
      </c>
      <c r="Y349" s="12" t="e">
        <f t="shared" si="302"/>
        <v>#REF!</v>
      </c>
      <c r="Z349" s="12" t="e">
        <f t="shared" si="303"/>
        <v>#REF!</v>
      </c>
      <c r="AA349" s="12" t="e">
        <f t="shared" si="304"/>
        <v>#REF!</v>
      </c>
    </row>
    <row r="350" spans="1:27" s="3" customFormat="1" x14ac:dyDescent="0.2">
      <c r="A350" s="4"/>
      <c r="B350" s="9">
        <v>28</v>
      </c>
      <c r="C350" s="9" t="s">
        <v>37</v>
      </c>
      <c r="D350" s="10" t="s">
        <v>23</v>
      </c>
      <c r="E350" s="20" t="s">
        <v>18</v>
      </c>
      <c r="F350" s="10" t="str">
        <f t="shared" si="305"/>
        <v>28SELECONOMY</v>
      </c>
      <c r="G350" s="12">
        <v>70.755749999999992</v>
      </c>
      <c r="H350" s="12">
        <v>70.755749999999992</v>
      </c>
      <c r="I350" s="12">
        <v>70.755749999999992</v>
      </c>
      <c r="J350" s="12">
        <v>70.755749999999992</v>
      </c>
      <c r="K350" s="12">
        <v>70.755749999999992</v>
      </c>
      <c r="M350" s="12">
        <f t="shared" si="270"/>
        <v>11.51</v>
      </c>
      <c r="O350" s="12" t="e">
        <f>#REF!</f>
        <v>#REF!</v>
      </c>
      <c r="P350" s="22" t="e">
        <f t="shared" ref="P350:S350" si="309">O350</f>
        <v>#REF!</v>
      </c>
      <c r="Q350" s="22" t="e">
        <f t="shared" si="309"/>
        <v>#REF!</v>
      </c>
      <c r="R350" s="22" t="e">
        <f t="shared" si="309"/>
        <v>#REF!</v>
      </c>
      <c r="S350" s="22" t="e">
        <f t="shared" si="309"/>
        <v>#REF!</v>
      </c>
      <c r="U350" s="12" t="e">
        <f>#REF!</f>
        <v>#REF!</v>
      </c>
      <c r="W350" s="12" t="e">
        <f t="shared" si="300"/>
        <v>#REF!</v>
      </c>
      <c r="X350" s="12" t="e">
        <f t="shared" si="301"/>
        <v>#REF!</v>
      </c>
      <c r="Y350" s="12" t="e">
        <f t="shared" si="302"/>
        <v>#REF!</v>
      </c>
      <c r="Z350" s="12" t="e">
        <f t="shared" si="303"/>
        <v>#REF!</v>
      </c>
      <c r="AA350" s="12" t="e">
        <f t="shared" si="304"/>
        <v>#REF!</v>
      </c>
    </row>
    <row r="351" spans="1:27" s="3" customFormat="1" x14ac:dyDescent="0.2">
      <c r="A351" s="4"/>
      <c r="B351" s="9">
        <v>31</v>
      </c>
      <c r="C351" s="9" t="s">
        <v>46</v>
      </c>
      <c r="D351" s="10" t="s">
        <v>23</v>
      </c>
      <c r="E351" s="20" t="s">
        <v>18</v>
      </c>
      <c r="F351" s="10" t="str">
        <f t="shared" si="305"/>
        <v>31SELECONOMY</v>
      </c>
      <c r="G351" s="13">
        <v>10.3935</v>
      </c>
      <c r="H351" s="13">
        <v>10.3935</v>
      </c>
      <c r="I351" s="13">
        <v>10.3935</v>
      </c>
      <c r="J351" s="13">
        <v>10.3935</v>
      </c>
      <c r="K351" s="13">
        <v>10.3935</v>
      </c>
      <c r="M351" s="13">
        <f t="shared" si="270"/>
        <v>10.81</v>
      </c>
      <c r="O351" s="13" t="e">
        <f>#REF!</f>
        <v>#REF!</v>
      </c>
      <c r="P351" s="22" t="e">
        <f t="shared" ref="P351:S351" si="310">O351</f>
        <v>#REF!</v>
      </c>
      <c r="Q351" s="22" t="e">
        <f t="shared" si="310"/>
        <v>#REF!</v>
      </c>
      <c r="R351" s="22" t="e">
        <f t="shared" si="310"/>
        <v>#REF!</v>
      </c>
      <c r="S351" s="22" t="e">
        <f t="shared" si="310"/>
        <v>#REF!</v>
      </c>
      <c r="U351" s="13" t="e">
        <f>#REF!</f>
        <v>#REF!</v>
      </c>
      <c r="W351" s="13" t="e">
        <f t="shared" si="300"/>
        <v>#REF!</v>
      </c>
      <c r="X351" s="13" t="e">
        <f t="shared" si="301"/>
        <v>#REF!</v>
      </c>
      <c r="Y351" s="13" t="e">
        <f t="shared" si="302"/>
        <v>#REF!</v>
      </c>
      <c r="Z351" s="13" t="e">
        <f t="shared" si="303"/>
        <v>#REF!</v>
      </c>
      <c r="AA351" s="13" t="e">
        <f t="shared" si="304"/>
        <v>#REF!</v>
      </c>
    </row>
    <row r="352" spans="1:27" s="3" customFormat="1" x14ac:dyDescent="0.2">
      <c r="A352" s="4"/>
      <c r="B352" s="9">
        <v>32</v>
      </c>
      <c r="C352" s="9" t="s">
        <v>46</v>
      </c>
      <c r="D352" s="10" t="s">
        <v>23</v>
      </c>
      <c r="E352" s="20" t="s">
        <v>18</v>
      </c>
      <c r="F352" s="10" t="str">
        <f t="shared" si="305"/>
        <v>32SELECONOMY</v>
      </c>
      <c r="G352" s="13">
        <v>12.996999999999998</v>
      </c>
      <c r="H352" s="13">
        <v>12.996999999999998</v>
      </c>
      <c r="I352" s="13">
        <v>12.996999999999998</v>
      </c>
      <c r="J352" s="13">
        <v>12.996999999999998</v>
      </c>
      <c r="K352" s="13">
        <v>12.996999999999998</v>
      </c>
      <c r="M352" s="13">
        <f t="shared" si="270"/>
        <v>10.81</v>
      </c>
      <c r="O352" s="13" t="e">
        <f>#REF!</f>
        <v>#REF!</v>
      </c>
      <c r="P352" s="22" t="e">
        <f t="shared" ref="P352:S352" si="311">O352</f>
        <v>#REF!</v>
      </c>
      <c r="Q352" s="22" t="e">
        <f t="shared" si="311"/>
        <v>#REF!</v>
      </c>
      <c r="R352" s="22" t="e">
        <f t="shared" si="311"/>
        <v>#REF!</v>
      </c>
      <c r="S352" s="22" t="e">
        <f t="shared" si="311"/>
        <v>#REF!</v>
      </c>
      <c r="U352" s="13" t="e">
        <f>#REF!</f>
        <v>#REF!</v>
      </c>
      <c r="W352" s="13" t="e">
        <f t="shared" si="300"/>
        <v>#REF!</v>
      </c>
      <c r="X352" s="13" t="e">
        <f t="shared" si="301"/>
        <v>#REF!</v>
      </c>
      <c r="Y352" s="13" t="e">
        <f t="shared" si="302"/>
        <v>#REF!</v>
      </c>
      <c r="Z352" s="13" t="e">
        <f t="shared" si="303"/>
        <v>#REF!</v>
      </c>
      <c r="AA352" s="13" t="e">
        <f t="shared" si="304"/>
        <v>#REF!</v>
      </c>
    </row>
    <row r="353" spans="1:27" s="3" customFormat="1" x14ac:dyDescent="0.2">
      <c r="A353" s="4"/>
      <c r="B353" s="9">
        <v>33</v>
      </c>
      <c r="C353" s="9" t="s">
        <v>46</v>
      </c>
      <c r="D353" s="10" t="s">
        <v>23</v>
      </c>
      <c r="E353" s="20" t="s">
        <v>18</v>
      </c>
      <c r="F353" s="10" t="str">
        <f t="shared" si="305"/>
        <v>33SELECONOMY</v>
      </c>
      <c r="G353" s="13">
        <v>14.401249999999999</v>
      </c>
      <c r="H353" s="13">
        <v>14.401249999999999</v>
      </c>
      <c r="I353" s="13">
        <v>14.401249999999999</v>
      </c>
      <c r="J353" s="13">
        <v>14.401249999999999</v>
      </c>
      <c r="K353" s="13">
        <v>14.401249999999999</v>
      </c>
      <c r="M353" s="13">
        <f t="shared" si="270"/>
        <v>10.81</v>
      </c>
      <c r="O353" s="13" t="e">
        <f>#REF!</f>
        <v>#REF!</v>
      </c>
      <c r="P353" s="22" t="e">
        <f t="shared" ref="P353:S353" si="312">O353</f>
        <v>#REF!</v>
      </c>
      <c r="Q353" s="22" t="e">
        <f t="shared" si="312"/>
        <v>#REF!</v>
      </c>
      <c r="R353" s="22" t="e">
        <f t="shared" si="312"/>
        <v>#REF!</v>
      </c>
      <c r="S353" s="22" t="e">
        <f t="shared" si="312"/>
        <v>#REF!</v>
      </c>
      <c r="U353" s="13" t="e">
        <f>#REF!</f>
        <v>#REF!</v>
      </c>
      <c r="W353" s="13" t="e">
        <f t="shared" si="300"/>
        <v>#REF!</v>
      </c>
      <c r="X353" s="13" t="e">
        <f t="shared" si="301"/>
        <v>#REF!</v>
      </c>
      <c r="Y353" s="13" t="e">
        <f t="shared" si="302"/>
        <v>#REF!</v>
      </c>
      <c r="Z353" s="13" t="e">
        <f t="shared" si="303"/>
        <v>#REF!</v>
      </c>
      <c r="AA353" s="13" t="e">
        <f t="shared" si="304"/>
        <v>#REF!</v>
      </c>
    </row>
    <row r="354" spans="1:27" s="3" customFormat="1" x14ac:dyDescent="0.2">
      <c r="A354" s="4"/>
      <c r="B354" s="9">
        <v>34</v>
      </c>
      <c r="C354" s="9" t="s">
        <v>46</v>
      </c>
      <c r="D354" s="10" t="s">
        <v>23</v>
      </c>
      <c r="E354" s="20" t="s">
        <v>18</v>
      </c>
      <c r="F354" s="10" t="str">
        <f t="shared" si="305"/>
        <v>34SELECONOMY</v>
      </c>
      <c r="G354" s="13">
        <v>16.676749999999998</v>
      </c>
      <c r="H354" s="13">
        <v>16.676749999999998</v>
      </c>
      <c r="I354" s="13">
        <v>16.676749999999998</v>
      </c>
      <c r="J354" s="13">
        <v>16.676749999999998</v>
      </c>
      <c r="K354" s="13">
        <v>16.676749999999998</v>
      </c>
      <c r="M354" s="13">
        <f t="shared" si="270"/>
        <v>10.81</v>
      </c>
      <c r="O354" s="13" t="e">
        <f>#REF!</f>
        <v>#REF!</v>
      </c>
      <c r="P354" s="22" t="e">
        <f t="shared" ref="P354:S354" si="313">O354</f>
        <v>#REF!</v>
      </c>
      <c r="Q354" s="22" t="e">
        <f t="shared" si="313"/>
        <v>#REF!</v>
      </c>
      <c r="R354" s="22" t="e">
        <f t="shared" si="313"/>
        <v>#REF!</v>
      </c>
      <c r="S354" s="22" t="e">
        <f t="shared" si="313"/>
        <v>#REF!</v>
      </c>
      <c r="U354" s="13" t="e">
        <f>#REF!</f>
        <v>#REF!</v>
      </c>
      <c r="W354" s="13" t="e">
        <f t="shared" si="300"/>
        <v>#REF!</v>
      </c>
      <c r="X354" s="13" t="e">
        <f t="shared" si="301"/>
        <v>#REF!</v>
      </c>
      <c r="Y354" s="13" t="e">
        <f t="shared" si="302"/>
        <v>#REF!</v>
      </c>
      <c r="Z354" s="13" t="e">
        <f t="shared" si="303"/>
        <v>#REF!</v>
      </c>
      <c r="AA354" s="13" t="e">
        <f t="shared" si="304"/>
        <v>#REF!</v>
      </c>
    </row>
    <row r="355" spans="1:27" s="3" customFormat="1" x14ac:dyDescent="0.2">
      <c r="A355" s="4"/>
      <c r="B355" s="9">
        <v>35</v>
      </c>
      <c r="C355" s="9" t="s">
        <v>46</v>
      </c>
      <c r="D355" s="10" t="s">
        <v>23</v>
      </c>
      <c r="E355" s="20" t="s">
        <v>18</v>
      </c>
      <c r="F355" s="10" t="str">
        <f t="shared" si="305"/>
        <v>35SELECONOMY</v>
      </c>
      <c r="G355" s="13">
        <v>18.460249999999998</v>
      </c>
      <c r="H355" s="13">
        <v>18.460249999999998</v>
      </c>
      <c r="I355" s="13">
        <v>18.460249999999998</v>
      </c>
      <c r="J355" s="13">
        <v>18.460249999999998</v>
      </c>
      <c r="K355" s="13">
        <v>18.460249999999998</v>
      </c>
      <c r="M355" s="13">
        <f t="shared" si="270"/>
        <v>10.81</v>
      </c>
      <c r="O355" s="13" t="e">
        <f>#REF!</f>
        <v>#REF!</v>
      </c>
      <c r="P355" s="22" t="e">
        <f t="shared" ref="P355:S355" si="314">O355</f>
        <v>#REF!</v>
      </c>
      <c r="Q355" s="22" t="e">
        <f t="shared" si="314"/>
        <v>#REF!</v>
      </c>
      <c r="R355" s="22" t="e">
        <f t="shared" si="314"/>
        <v>#REF!</v>
      </c>
      <c r="S355" s="22" t="e">
        <f t="shared" si="314"/>
        <v>#REF!</v>
      </c>
      <c r="U355" s="13" t="e">
        <f>#REF!</f>
        <v>#REF!</v>
      </c>
      <c r="W355" s="13" t="e">
        <f t="shared" si="300"/>
        <v>#REF!</v>
      </c>
      <c r="X355" s="13" t="e">
        <f t="shared" si="301"/>
        <v>#REF!</v>
      </c>
      <c r="Y355" s="13" t="e">
        <f t="shared" si="302"/>
        <v>#REF!</v>
      </c>
      <c r="Z355" s="13" t="e">
        <f t="shared" si="303"/>
        <v>#REF!</v>
      </c>
      <c r="AA355" s="13" t="e">
        <f t="shared" si="304"/>
        <v>#REF!</v>
      </c>
    </row>
    <row r="356" spans="1:27" s="3" customFormat="1" x14ac:dyDescent="0.2">
      <c r="A356" s="4"/>
      <c r="B356" s="9">
        <v>41</v>
      </c>
      <c r="C356" s="9" t="s">
        <v>38</v>
      </c>
      <c r="D356" s="10" t="s">
        <v>23</v>
      </c>
      <c r="E356" s="20" t="s">
        <v>18</v>
      </c>
      <c r="F356" s="10" t="str">
        <f t="shared" si="305"/>
        <v>41SELECONOMY</v>
      </c>
      <c r="G356" s="14">
        <v>12.05</v>
      </c>
      <c r="H356" s="14">
        <v>12.05</v>
      </c>
      <c r="I356" s="14">
        <v>12.05</v>
      </c>
      <c r="J356" s="14">
        <v>12.05</v>
      </c>
      <c r="K356" s="14">
        <v>12.05</v>
      </c>
      <c r="M356" s="14">
        <f t="shared" si="270"/>
        <v>9.76</v>
      </c>
      <c r="O356" s="14" t="e">
        <f>#REF!</f>
        <v>#REF!</v>
      </c>
      <c r="P356" s="22" t="e">
        <f t="shared" ref="P356:S356" si="315">O356</f>
        <v>#REF!</v>
      </c>
      <c r="Q356" s="22" t="e">
        <f t="shared" si="315"/>
        <v>#REF!</v>
      </c>
      <c r="R356" s="22" t="e">
        <f t="shared" si="315"/>
        <v>#REF!</v>
      </c>
      <c r="S356" s="22" t="e">
        <f t="shared" si="315"/>
        <v>#REF!</v>
      </c>
      <c r="U356" s="14" t="e">
        <f>#REF!</f>
        <v>#REF!</v>
      </c>
      <c r="W356" s="14" t="e">
        <f t="shared" si="300"/>
        <v>#REF!</v>
      </c>
      <c r="X356" s="14" t="e">
        <f t="shared" si="301"/>
        <v>#REF!</v>
      </c>
      <c r="Y356" s="14" t="e">
        <f t="shared" si="302"/>
        <v>#REF!</v>
      </c>
      <c r="Z356" s="14" t="e">
        <f t="shared" si="303"/>
        <v>#REF!</v>
      </c>
      <c r="AA356" s="14" t="e">
        <f t="shared" si="304"/>
        <v>#REF!</v>
      </c>
    </row>
    <row r="357" spans="1:27" s="3" customFormat="1" x14ac:dyDescent="0.2">
      <c r="A357" s="4"/>
      <c r="B357" s="9">
        <v>42</v>
      </c>
      <c r="C357" s="9" t="s">
        <v>38</v>
      </c>
      <c r="D357" s="10" t="s">
        <v>23</v>
      </c>
      <c r="E357" s="20" t="s">
        <v>18</v>
      </c>
      <c r="F357" s="10" t="str">
        <f t="shared" si="305"/>
        <v>42SELECONOMY</v>
      </c>
      <c r="G357" s="14">
        <v>14.15</v>
      </c>
      <c r="H357" s="14">
        <v>14.15</v>
      </c>
      <c r="I357" s="14">
        <v>14.15</v>
      </c>
      <c r="J357" s="14">
        <v>14.15</v>
      </c>
      <c r="K357" s="14">
        <v>14.15</v>
      </c>
      <c r="M357" s="14">
        <f t="shared" si="270"/>
        <v>9.76</v>
      </c>
      <c r="O357" s="14" t="e">
        <f>#REF!</f>
        <v>#REF!</v>
      </c>
      <c r="P357" s="22" t="e">
        <f t="shared" ref="P357:S357" si="316">O357</f>
        <v>#REF!</v>
      </c>
      <c r="Q357" s="22" t="e">
        <f t="shared" si="316"/>
        <v>#REF!</v>
      </c>
      <c r="R357" s="22" t="e">
        <f t="shared" si="316"/>
        <v>#REF!</v>
      </c>
      <c r="S357" s="22" t="e">
        <f t="shared" si="316"/>
        <v>#REF!</v>
      </c>
      <c r="U357" s="14" t="e">
        <f>#REF!</f>
        <v>#REF!</v>
      </c>
      <c r="W357" s="14" t="e">
        <f t="shared" si="300"/>
        <v>#REF!</v>
      </c>
      <c r="X357" s="14" t="e">
        <f t="shared" si="301"/>
        <v>#REF!</v>
      </c>
      <c r="Y357" s="14" t="e">
        <f t="shared" si="302"/>
        <v>#REF!</v>
      </c>
      <c r="Z357" s="14" t="e">
        <f t="shared" si="303"/>
        <v>#REF!</v>
      </c>
      <c r="AA357" s="14" t="e">
        <f t="shared" si="304"/>
        <v>#REF!</v>
      </c>
    </row>
    <row r="358" spans="1:27" s="3" customFormat="1" x14ac:dyDescent="0.2">
      <c r="A358" s="4"/>
      <c r="B358" s="9">
        <v>43</v>
      </c>
      <c r="C358" s="9" t="s">
        <v>38</v>
      </c>
      <c r="D358" s="10" t="s">
        <v>23</v>
      </c>
      <c r="E358" s="20" t="s">
        <v>18</v>
      </c>
      <c r="F358" s="10" t="str">
        <f t="shared" si="305"/>
        <v>43SELECONOMY</v>
      </c>
      <c r="G358" s="14">
        <v>17.05</v>
      </c>
      <c r="H358" s="14">
        <v>17.05</v>
      </c>
      <c r="I358" s="14">
        <v>17.05</v>
      </c>
      <c r="J358" s="14">
        <v>17.05</v>
      </c>
      <c r="K358" s="14">
        <v>17.05</v>
      </c>
      <c r="M358" s="14">
        <f t="shared" si="270"/>
        <v>9.76</v>
      </c>
      <c r="O358" s="14" t="e">
        <f>#REF!</f>
        <v>#REF!</v>
      </c>
      <c r="P358" s="22" t="e">
        <f t="shared" ref="P358:S358" si="317">O358</f>
        <v>#REF!</v>
      </c>
      <c r="Q358" s="22" t="e">
        <f t="shared" si="317"/>
        <v>#REF!</v>
      </c>
      <c r="R358" s="22" t="e">
        <f t="shared" si="317"/>
        <v>#REF!</v>
      </c>
      <c r="S358" s="22" t="e">
        <f t="shared" si="317"/>
        <v>#REF!</v>
      </c>
      <c r="U358" s="14" t="e">
        <f>#REF!</f>
        <v>#REF!</v>
      </c>
      <c r="W358" s="14" t="e">
        <f t="shared" si="300"/>
        <v>#REF!</v>
      </c>
      <c r="X358" s="14" t="e">
        <f t="shared" si="301"/>
        <v>#REF!</v>
      </c>
      <c r="Y358" s="14" t="e">
        <f t="shared" si="302"/>
        <v>#REF!</v>
      </c>
      <c r="Z358" s="14" t="e">
        <f t="shared" si="303"/>
        <v>#REF!</v>
      </c>
      <c r="AA358" s="14" t="e">
        <f t="shared" si="304"/>
        <v>#REF!</v>
      </c>
    </row>
    <row r="359" spans="1:27" s="3" customFormat="1" x14ac:dyDescent="0.2">
      <c r="A359" s="4"/>
      <c r="B359" s="9">
        <v>44</v>
      </c>
      <c r="C359" s="9" t="s">
        <v>38</v>
      </c>
      <c r="D359" s="10" t="s">
        <v>23</v>
      </c>
      <c r="E359" s="20" t="s">
        <v>18</v>
      </c>
      <c r="F359" s="10" t="str">
        <f t="shared" si="305"/>
        <v>44SELECONOMY</v>
      </c>
      <c r="G359" s="14">
        <v>50.3</v>
      </c>
      <c r="H359" s="14">
        <v>50.3</v>
      </c>
      <c r="I359" s="14">
        <v>50.3</v>
      </c>
      <c r="J359" s="14">
        <v>50.3</v>
      </c>
      <c r="K359" s="14">
        <v>50.3</v>
      </c>
      <c r="M359" s="14">
        <f t="shared" si="270"/>
        <v>9.76</v>
      </c>
      <c r="O359" s="14" t="e">
        <f>#REF!</f>
        <v>#REF!</v>
      </c>
      <c r="P359" s="22" t="e">
        <f t="shared" ref="P359:S359" si="318">O359</f>
        <v>#REF!</v>
      </c>
      <c r="Q359" s="22" t="e">
        <f t="shared" si="318"/>
        <v>#REF!</v>
      </c>
      <c r="R359" s="22" t="e">
        <f t="shared" si="318"/>
        <v>#REF!</v>
      </c>
      <c r="S359" s="22" t="e">
        <f t="shared" si="318"/>
        <v>#REF!</v>
      </c>
      <c r="U359" s="14" t="e">
        <f>#REF!</f>
        <v>#REF!</v>
      </c>
      <c r="W359" s="14" t="e">
        <f t="shared" si="300"/>
        <v>#REF!</v>
      </c>
      <c r="X359" s="14" t="e">
        <f t="shared" si="301"/>
        <v>#REF!</v>
      </c>
      <c r="Y359" s="14" t="e">
        <f t="shared" si="302"/>
        <v>#REF!</v>
      </c>
      <c r="Z359" s="14" t="e">
        <f t="shared" si="303"/>
        <v>#REF!</v>
      </c>
      <c r="AA359" s="14" t="e">
        <f t="shared" si="304"/>
        <v>#REF!</v>
      </c>
    </row>
    <row r="360" spans="1:27" s="3" customFormat="1" x14ac:dyDescent="0.2">
      <c r="A360" s="4"/>
      <c r="B360" s="9">
        <v>45</v>
      </c>
      <c r="C360" s="9" t="s">
        <v>38</v>
      </c>
      <c r="D360" s="10" t="s">
        <v>23</v>
      </c>
      <c r="E360" s="20" t="s">
        <v>18</v>
      </c>
      <c r="F360" s="10" t="str">
        <f t="shared" si="305"/>
        <v>45SELECONOMY</v>
      </c>
      <c r="G360" s="14">
        <v>52.85</v>
      </c>
      <c r="H360" s="14">
        <v>52.85</v>
      </c>
      <c r="I360" s="14">
        <v>52.85</v>
      </c>
      <c r="J360" s="14">
        <v>52.85</v>
      </c>
      <c r="K360" s="14">
        <v>52.85</v>
      </c>
      <c r="M360" s="14">
        <f t="shared" si="270"/>
        <v>9.76</v>
      </c>
      <c r="O360" s="14" t="e">
        <f>#REF!</f>
        <v>#REF!</v>
      </c>
      <c r="P360" s="22" t="e">
        <f t="shared" ref="P360:S360" si="319">O360</f>
        <v>#REF!</v>
      </c>
      <c r="Q360" s="22" t="e">
        <f t="shared" si="319"/>
        <v>#REF!</v>
      </c>
      <c r="R360" s="22" t="e">
        <f t="shared" si="319"/>
        <v>#REF!</v>
      </c>
      <c r="S360" s="22" t="e">
        <f t="shared" si="319"/>
        <v>#REF!</v>
      </c>
      <c r="U360" s="14" t="e">
        <f>#REF!</f>
        <v>#REF!</v>
      </c>
      <c r="W360" s="14" t="e">
        <f t="shared" si="300"/>
        <v>#REF!</v>
      </c>
      <c r="X360" s="14" t="e">
        <f t="shared" si="301"/>
        <v>#REF!</v>
      </c>
      <c r="Y360" s="14" t="e">
        <f t="shared" si="302"/>
        <v>#REF!</v>
      </c>
      <c r="Z360" s="14" t="e">
        <f t="shared" si="303"/>
        <v>#REF!</v>
      </c>
      <c r="AA360" s="14" t="e">
        <f t="shared" si="304"/>
        <v>#REF!</v>
      </c>
    </row>
    <row r="361" spans="1:27" x14ac:dyDescent="0.2">
      <c r="B361" s="9">
        <v>51</v>
      </c>
      <c r="C361" s="9" t="s">
        <v>39</v>
      </c>
      <c r="D361" s="10" t="s">
        <v>23</v>
      </c>
      <c r="E361" s="20" t="s">
        <v>18</v>
      </c>
      <c r="F361" s="10" t="str">
        <f t="shared" si="305"/>
        <v>51SELECONOMY</v>
      </c>
      <c r="G361" s="18">
        <v>12.05</v>
      </c>
      <c r="H361" s="18">
        <v>12.05</v>
      </c>
      <c r="I361" s="18">
        <v>12.05</v>
      </c>
      <c r="J361" s="18">
        <v>12.05</v>
      </c>
      <c r="K361" s="18">
        <v>12.05</v>
      </c>
      <c r="M361" s="18">
        <f t="shared" si="270"/>
        <v>9.76</v>
      </c>
      <c r="O361" s="18" t="e">
        <f>#REF!</f>
        <v>#REF!</v>
      </c>
      <c r="P361" s="22" t="e">
        <f t="shared" ref="P361:S361" si="320">O361</f>
        <v>#REF!</v>
      </c>
      <c r="Q361" s="22" t="e">
        <f t="shared" si="320"/>
        <v>#REF!</v>
      </c>
      <c r="R361" s="22" t="e">
        <f t="shared" si="320"/>
        <v>#REF!</v>
      </c>
      <c r="S361" s="22" t="e">
        <f t="shared" si="320"/>
        <v>#REF!</v>
      </c>
      <c r="U361" s="18" t="e">
        <f>#REF!</f>
        <v>#REF!</v>
      </c>
      <c r="W361" s="18" t="e">
        <f t="shared" si="300"/>
        <v>#REF!</v>
      </c>
      <c r="X361" s="18" t="e">
        <f t="shared" si="301"/>
        <v>#REF!</v>
      </c>
      <c r="Y361" s="18" t="e">
        <f t="shared" si="302"/>
        <v>#REF!</v>
      </c>
      <c r="Z361" s="18" t="e">
        <f t="shared" si="303"/>
        <v>#REF!</v>
      </c>
      <c r="AA361" s="18" t="e">
        <f t="shared" si="304"/>
        <v>#REF!</v>
      </c>
    </row>
    <row r="362" spans="1:27" x14ac:dyDescent="0.2">
      <c r="B362" s="9">
        <v>52</v>
      </c>
      <c r="C362" s="9" t="s">
        <v>39</v>
      </c>
      <c r="D362" s="10" t="s">
        <v>23</v>
      </c>
      <c r="E362" s="20" t="s">
        <v>18</v>
      </c>
      <c r="F362" s="10" t="str">
        <f t="shared" si="305"/>
        <v>52SELECONOMY</v>
      </c>
      <c r="G362" s="18">
        <v>14.15</v>
      </c>
      <c r="H362" s="18">
        <v>14.15</v>
      </c>
      <c r="I362" s="18">
        <v>14.15</v>
      </c>
      <c r="J362" s="18">
        <v>14.15</v>
      </c>
      <c r="K362" s="18">
        <v>14.15</v>
      </c>
      <c r="M362" s="18">
        <f t="shared" si="270"/>
        <v>9.76</v>
      </c>
      <c r="O362" s="18" t="e">
        <f>#REF!</f>
        <v>#REF!</v>
      </c>
      <c r="P362" s="22" t="e">
        <f t="shared" ref="P362:S362" si="321">O362</f>
        <v>#REF!</v>
      </c>
      <c r="Q362" s="22" t="e">
        <f t="shared" si="321"/>
        <v>#REF!</v>
      </c>
      <c r="R362" s="22" t="e">
        <f t="shared" si="321"/>
        <v>#REF!</v>
      </c>
      <c r="S362" s="22" t="e">
        <f t="shared" si="321"/>
        <v>#REF!</v>
      </c>
      <c r="U362" s="18" t="e">
        <f>#REF!</f>
        <v>#REF!</v>
      </c>
      <c r="W362" s="18" t="e">
        <f t="shared" si="300"/>
        <v>#REF!</v>
      </c>
      <c r="X362" s="18" t="e">
        <f t="shared" si="301"/>
        <v>#REF!</v>
      </c>
      <c r="Y362" s="18" t="e">
        <f t="shared" si="302"/>
        <v>#REF!</v>
      </c>
      <c r="Z362" s="18" t="e">
        <f t="shared" si="303"/>
        <v>#REF!</v>
      </c>
      <c r="AA362" s="18" t="e">
        <f t="shared" si="304"/>
        <v>#REF!</v>
      </c>
    </row>
    <row r="363" spans="1:27" x14ac:dyDescent="0.2">
      <c r="B363" s="9">
        <v>53</v>
      </c>
      <c r="C363" s="9" t="s">
        <v>39</v>
      </c>
      <c r="D363" s="10" t="s">
        <v>23</v>
      </c>
      <c r="E363" s="20" t="s">
        <v>18</v>
      </c>
      <c r="F363" s="10" t="str">
        <f t="shared" si="305"/>
        <v>53SELECONOMY</v>
      </c>
      <c r="G363" s="18">
        <v>17.05</v>
      </c>
      <c r="H363" s="18">
        <v>17.05</v>
      </c>
      <c r="I363" s="18">
        <v>17.05</v>
      </c>
      <c r="J363" s="18">
        <v>17.05</v>
      </c>
      <c r="K363" s="18">
        <v>17.05</v>
      </c>
      <c r="M363" s="18">
        <f t="shared" si="270"/>
        <v>9.76</v>
      </c>
      <c r="O363" s="18" t="e">
        <f>#REF!</f>
        <v>#REF!</v>
      </c>
      <c r="P363" s="22" t="e">
        <f t="shared" ref="P363:S363" si="322">O363</f>
        <v>#REF!</v>
      </c>
      <c r="Q363" s="22" t="e">
        <f t="shared" si="322"/>
        <v>#REF!</v>
      </c>
      <c r="R363" s="22" t="e">
        <f t="shared" si="322"/>
        <v>#REF!</v>
      </c>
      <c r="S363" s="22" t="e">
        <f t="shared" si="322"/>
        <v>#REF!</v>
      </c>
      <c r="U363" s="18" t="e">
        <f>#REF!</f>
        <v>#REF!</v>
      </c>
      <c r="W363" s="18" t="e">
        <f t="shared" si="300"/>
        <v>#REF!</v>
      </c>
      <c r="X363" s="18" t="e">
        <f t="shared" si="301"/>
        <v>#REF!</v>
      </c>
      <c r="Y363" s="18" t="e">
        <f t="shared" si="302"/>
        <v>#REF!</v>
      </c>
      <c r="Z363" s="18" t="e">
        <f t="shared" si="303"/>
        <v>#REF!</v>
      </c>
      <c r="AA363" s="18" t="e">
        <f t="shared" si="304"/>
        <v>#REF!</v>
      </c>
    </row>
    <row r="364" spans="1:27" x14ac:dyDescent="0.2">
      <c r="B364" s="9">
        <v>54</v>
      </c>
      <c r="C364" s="9" t="s">
        <v>39</v>
      </c>
      <c r="D364" s="10" t="s">
        <v>23</v>
      </c>
      <c r="E364" s="20" t="s">
        <v>18</v>
      </c>
      <c r="F364" s="10" t="str">
        <f t="shared" si="305"/>
        <v>54SELECONOMY</v>
      </c>
      <c r="G364" s="18">
        <v>18.2</v>
      </c>
      <c r="H364" s="18">
        <v>18.2</v>
      </c>
      <c r="I364" s="18">
        <v>18.2</v>
      </c>
      <c r="J364" s="18">
        <v>18.2</v>
      </c>
      <c r="K364" s="18">
        <v>18.2</v>
      </c>
      <c r="M364" s="18">
        <f t="shared" si="270"/>
        <v>9.76</v>
      </c>
      <c r="O364" s="18" t="e">
        <f>#REF!</f>
        <v>#REF!</v>
      </c>
      <c r="P364" s="22" t="e">
        <f t="shared" ref="P364:S364" si="323">O364</f>
        <v>#REF!</v>
      </c>
      <c r="Q364" s="22" t="e">
        <f t="shared" si="323"/>
        <v>#REF!</v>
      </c>
      <c r="R364" s="22" t="e">
        <f t="shared" si="323"/>
        <v>#REF!</v>
      </c>
      <c r="S364" s="22" t="e">
        <f t="shared" si="323"/>
        <v>#REF!</v>
      </c>
      <c r="U364" s="18" t="e">
        <f>#REF!</f>
        <v>#REF!</v>
      </c>
      <c r="W364" s="18" t="e">
        <f t="shared" si="300"/>
        <v>#REF!</v>
      </c>
      <c r="X364" s="18" t="e">
        <f t="shared" si="301"/>
        <v>#REF!</v>
      </c>
      <c r="Y364" s="18" t="e">
        <f t="shared" si="302"/>
        <v>#REF!</v>
      </c>
      <c r="Z364" s="18" t="e">
        <f t="shared" si="303"/>
        <v>#REF!</v>
      </c>
      <c r="AA364" s="18" t="e">
        <f t="shared" si="304"/>
        <v>#REF!</v>
      </c>
    </row>
    <row r="365" spans="1:27" s="3" customFormat="1" x14ac:dyDescent="0.2">
      <c r="A365" s="4"/>
      <c r="B365" s="9">
        <v>1</v>
      </c>
      <c r="C365" s="9" t="s">
        <v>36</v>
      </c>
      <c r="D365" s="10" t="s">
        <v>15</v>
      </c>
      <c r="E365" s="19" t="s">
        <v>12</v>
      </c>
      <c r="F365" s="10" t="str">
        <f t="shared" si="305"/>
        <v>1QPPREMIUM</v>
      </c>
      <c r="G365" s="11">
        <v>14.500349999999999</v>
      </c>
      <c r="H365" s="11">
        <v>14.500349999999999</v>
      </c>
      <c r="I365" s="11">
        <v>14.500349999999999</v>
      </c>
      <c r="J365" s="11">
        <v>14.500349999999999</v>
      </c>
      <c r="K365" s="11">
        <v>14.500349999999999</v>
      </c>
      <c r="M365" s="11">
        <f>VLOOKUP(C365,$AN$5:$AS$9,6,FALSE)</f>
        <v>10.31</v>
      </c>
      <c r="O365" s="11" t="e">
        <f>#REF!</f>
        <v>#REF!</v>
      </c>
      <c r="P365" s="22" t="e">
        <f t="shared" ref="P365:S365" si="324">O365</f>
        <v>#REF!</v>
      </c>
      <c r="Q365" s="22" t="e">
        <f t="shared" si="324"/>
        <v>#REF!</v>
      </c>
      <c r="R365" s="22" t="e">
        <f t="shared" si="324"/>
        <v>#REF!</v>
      </c>
      <c r="S365" s="22" t="e">
        <f t="shared" si="324"/>
        <v>#REF!</v>
      </c>
      <c r="U365" s="11" t="e">
        <f>#REF!</f>
        <v>#REF!</v>
      </c>
      <c r="W365" s="11" t="e">
        <f t="shared" ref="W365:W407" si="325">G365+$M365+O365+$U365</f>
        <v>#REF!</v>
      </c>
      <c r="X365" s="11" t="e">
        <f t="shared" ref="X365:X407" si="326">H365+$M365+P365+$U365</f>
        <v>#REF!</v>
      </c>
      <c r="Y365" s="11" t="e">
        <f t="shared" ref="Y365:Y407" si="327">I365+$M365+Q365+$U365</f>
        <v>#REF!</v>
      </c>
      <c r="Z365" s="11" t="e">
        <f t="shared" ref="Z365:Z407" si="328">J365+$M365+R365+$U365</f>
        <v>#REF!</v>
      </c>
      <c r="AA365" s="11" t="e">
        <f t="shared" ref="AA365:AA407" si="329">K365+$M365+S365+$U365</f>
        <v>#REF!</v>
      </c>
    </row>
    <row r="366" spans="1:27" s="3" customFormat="1" x14ac:dyDescent="0.2">
      <c r="A366" s="4"/>
      <c r="B366" s="9">
        <v>2</v>
      </c>
      <c r="C366" s="9" t="s">
        <v>36</v>
      </c>
      <c r="D366" s="10" t="s">
        <v>15</v>
      </c>
      <c r="E366" s="19" t="s">
        <v>12</v>
      </c>
      <c r="F366" s="10" t="str">
        <f t="shared" si="305"/>
        <v>2QPPREMIUM</v>
      </c>
      <c r="G366" s="11">
        <v>15.6699</v>
      </c>
      <c r="H366" s="11">
        <v>15.6699</v>
      </c>
      <c r="I366" s="11">
        <v>15.6699</v>
      </c>
      <c r="J366" s="11">
        <v>15.6699</v>
      </c>
      <c r="K366" s="11">
        <v>15.6699</v>
      </c>
      <c r="M366" s="11">
        <f t="shared" ref="M366:M429" si="330">VLOOKUP(C366,$AN$5:$AS$9,6,FALSE)</f>
        <v>10.31</v>
      </c>
      <c r="O366" s="11" t="e">
        <f>#REF!</f>
        <v>#REF!</v>
      </c>
      <c r="P366" s="22" t="e">
        <f t="shared" ref="P366:S366" si="331">O366</f>
        <v>#REF!</v>
      </c>
      <c r="Q366" s="22" t="e">
        <f t="shared" si="331"/>
        <v>#REF!</v>
      </c>
      <c r="R366" s="22" t="e">
        <f t="shared" si="331"/>
        <v>#REF!</v>
      </c>
      <c r="S366" s="22" t="e">
        <f t="shared" si="331"/>
        <v>#REF!</v>
      </c>
      <c r="U366" s="11" t="e">
        <f>#REF!</f>
        <v>#REF!</v>
      </c>
      <c r="W366" s="11" t="e">
        <f t="shared" si="325"/>
        <v>#REF!</v>
      </c>
      <c r="X366" s="11" t="e">
        <f t="shared" si="326"/>
        <v>#REF!</v>
      </c>
      <c r="Y366" s="11" t="e">
        <f t="shared" si="327"/>
        <v>#REF!</v>
      </c>
      <c r="Z366" s="11" t="e">
        <f t="shared" si="328"/>
        <v>#REF!</v>
      </c>
      <c r="AA366" s="11" t="e">
        <f t="shared" si="329"/>
        <v>#REF!</v>
      </c>
    </row>
    <row r="367" spans="1:27" s="3" customFormat="1" x14ac:dyDescent="0.2">
      <c r="A367" s="4"/>
      <c r="B367" s="9">
        <v>3</v>
      </c>
      <c r="C367" s="9" t="s">
        <v>36</v>
      </c>
      <c r="D367" s="10" t="s">
        <v>15</v>
      </c>
      <c r="E367" s="19" t="s">
        <v>12</v>
      </c>
      <c r="F367" s="10" t="str">
        <f t="shared" si="305"/>
        <v>3QPPREMIUM</v>
      </c>
      <c r="G367" s="11">
        <v>17.0154</v>
      </c>
      <c r="H367" s="11">
        <v>17.0154</v>
      </c>
      <c r="I367" s="11">
        <v>17.0154</v>
      </c>
      <c r="J367" s="11">
        <v>17.0154</v>
      </c>
      <c r="K367" s="11">
        <v>17.0154</v>
      </c>
      <c r="M367" s="11">
        <f t="shared" si="330"/>
        <v>10.31</v>
      </c>
      <c r="O367" s="11" t="e">
        <f>#REF!</f>
        <v>#REF!</v>
      </c>
      <c r="P367" s="22" t="e">
        <f t="shared" ref="P367:S367" si="332">O367</f>
        <v>#REF!</v>
      </c>
      <c r="Q367" s="22" t="e">
        <f t="shared" si="332"/>
        <v>#REF!</v>
      </c>
      <c r="R367" s="22" t="e">
        <f t="shared" si="332"/>
        <v>#REF!</v>
      </c>
      <c r="S367" s="22" t="e">
        <f t="shared" si="332"/>
        <v>#REF!</v>
      </c>
      <c r="U367" s="11" t="e">
        <f>#REF!</f>
        <v>#REF!</v>
      </c>
      <c r="W367" s="11" t="e">
        <f t="shared" si="325"/>
        <v>#REF!</v>
      </c>
      <c r="X367" s="11" t="e">
        <f t="shared" si="326"/>
        <v>#REF!</v>
      </c>
      <c r="Y367" s="11" t="e">
        <f t="shared" si="327"/>
        <v>#REF!</v>
      </c>
      <c r="Z367" s="11" t="e">
        <f t="shared" si="328"/>
        <v>#REF!</v>
      </c>
      <c r="AA367" s="11" t="e">
        <f t="shared" si="329"/>
        <v>#REF!</v>
      </c>
    </row>
    <row r="368" spans="1:27" s="3" customFormat="1" x14ac:dyDescent="0.2">
      <c r="A368" s="4"/>
      <c r="B368" s="9">
        <v>4</v>
      </c>
      <c r="C368" s="9" t="s">
        <v>36</v>
      </c>
      <c r="D368" s="10" t="s">
        <v>15</v>
      </c>
      <c r="E368" s="19" t="s">
        <v>12</v>
      </c>
      <c r="F368" s="10" t="str">
        <f t="shared" si="305"/>
        <v>4QPPREMIUM</v>
      </c>
      <c r="G368" s="11">
        <v>20.5137</v>
      </c>
      <c r="H368" s="11">
        <v>20.5137</v>
      </c>
      <c r="I368" s="11">
        <v>20.5137</v>
      </c>
      <c r="J368" s="11">
        <v>20.5137</v>
      </c>
      <c r="K368" s="11">
        <v>20.5137</v>
      </c>
      <c r="M368" s="11">
        <f t="shared" si="330"/>
        <v>10.31</v>
      </c>
      <c r="O368" s="11" t="e">
        <f>#REF!</f>
        <v>#REF!</v>
      </c>
      <c r="P368" s="22" t="e">
        <f t="shared" ref="P368:S368" si="333">O368</f>
        <v>#REF!</v>
      </c>
      <c r="Q368" s="22" t="e">
        <f t="shared" si="333"/>
        <v>#REF!</v>
      </c>
      <c r="R368" s="22" t="e">
        <f t="shared" si="333"/>
        <v>#REF!</v>
      </c>
      <c r="S368" s="22" t="e">
        <f t="shared" si="333"/>
        <v>#REF!</v>
      </c>
      <c r="U368" s="11" t="e">
        <f>#REF!</f>
        <v>#REF!</v>
      </c>
      <c r="W368" s="11" t="e">
        <f t="shared" si="325"/>
        <v>#REF!</v>
      </c>
      <c r="X368" s="11" t="e">
        <f t="shared" si="326"/>
        <v>#REF!</v>
      </c>
      <c r="Y368" s="11" t="e">
        <f t="shared" si="327"/>
        <v>#REF!</v>
      </c>
      <c r="Z368" s="11" t="e">
        <f t="shared" si="328"/>
        <v>#REF!</v>
      </c>
      <c r="AA368" s="11" t="e">
        <f t="shared" si="329"/>
        <v>#REF!</v>
      </c>
    </row>
    <row r="369" spans="1:27" s="3" customFormat="1" x14ac:dyDescent="0.2">
      <c r="A369" s="4"/>
      <c r="B369" s="9">
        <v>5</v>
      </c>
      <c r="C369" s="9" t="s">
        <v>36</v>
      </c>
      <c r="D369" s="10" t="s">
        <v>15</v>
      </c>
      <c r="E369" s="19" t="s">
        <v>12</v>
      </c>
      <c r="F369" s="10" t="str">
        <f t="shared" si="305"/>
        <v>5QPPREMIUM</v>
      </c>
      <c r="G369" s="11">
        <v>22.687200000000001</v>
      </c>
      <c r="H369" s="11">
        <v>22.687200000000001</v>
      </c>
      <c r="I369" s="11">
        <v>22.687200000000001</v>
      </c>
      <c r="J369" s="11">
        <v>22.687200000000001</v>
      </c>
      <c r="K369" s="11">
        <v>22.687200000000001</v>
      </c>
      <c r="M369" s="11">
        <f t="shared" si="330"/>
        <v>10.31</v>
      </c>
      <c r="O369" s="11" t="e">
        <f>#REF!</f>
        <v>#REF!</v>
      </c>
      <c r="P369" s="22" t="e">
        <f t="shared" ref="P369:S369" si="334">O369</f>
        <v>#REF!</v>
      </c>
      <c r="Q369" s="22" t="e">
        <f t="shared" si="334"/>
        <v>#REF!</v>
      </c>
      <c r="R369" s="22" t="e">
        <f t="shared" si="334"/>
        <v>#REF!</v>
      </c>
      <c r="S369" s="22" t="e">
        <f t="shared" si="334"/>
        <v>#REF!</v>
      </c>
      <c r="U369" s="11" t="e">
        <f>#REF!</f>
        <v>#REF!</v>
      </c>
      <c r="W369" s="11" t="e">
        <f t="shared" si="325"/>
        <v>#REF!</v>
      </c>
      <c r="X369" s="11" t="e">
        <f t="shared" si="326"/>
        <v>#REF!</v>
      </c>
      <c r="Y369" s="11" t="e">
        <f t="shared" si="327"/>
        <v>#REF!</v>
      </c>
      <c r="Z369" s="11" t="e">
        <f t="shared" si="328"/>
        <v>#REF!</v>
      </c>
      <c r="AA369" s="11" t="e">
        <f t="shared" si="329"/>
        <v>#REF!</v>
      </c>
    </row>
    <row r="370" spans="1:27" s="3" customFormat="1" x14ac:dyDescent="0.2">
      <c r="A370" s="4"/>
      <c r="B370" s="9">
        <v>6</v>
      </c>
      <c r="C370" s="9" t="s">
        <v>36</v>
      </c>
      <c r="D370" s="10" t="s">
        <v>15</v>
      </c>
      <c r="E370" s="19" t="s">
        <v>12</v>
      </c>
      <c r="F370" s="10" t="str">
        <f t="shared" si="305"/>
        <v>6QPPREMIUM</v>
      </c>
      <c r="G370" s="11">
        <v>25.647299999999998</v>
      </c>
      <c r="H370" s="11">
        <v>25.647299999999998</v>
      </c>
      <c r="I370" s="11">
        <v>25.647299999999998</v>
      </c>
      <c r="J370" s="11">
        <v>25.647299999999998</v>
      </c>
      <c r="K370" s="11">
        <v>25.647299999999998</v>
      </c>
      <c r="M370" s="11">
        <f t="shared" si="330"/>
        <v>10.31</v>
      </c>
      <c r="O370" s="11" t="e">
        <f>#REF!</f>
        <v>#REF!</v>
      </c>
      <c r="P370" s="22" t="e">
        <f t="shared" ref="P370:S370" si="335">O370</f>
        <v>#REF!</v>
      </c>
      <c r="Q370" s="22" t="e">
        <f t="shared" si="335"/>
        <v>#REF!</v>
      </c>
      <c r="R370" s="22" t="e">
        <f t="shared" si="335"/>
        <v>#REF!</v>
      </c>
      <c r="S370" s="22" t="e">
        <f t="shared" si="335"/>
        <v>#REF!</v>
      </c>
      <c r="U370" s="11" t="e">
        <f>#REF!</f>
        <v>#REF!</v>
      </c>
      <c r="W370" s="11" t="e">
        <f t="shared" si="325"/>
        <v>#REF!</v>
      </c>
      <c r="X370" s="11" t="e">
        <f t="shared" si="326"/>
        <v>#REF!</v>
      </c>
      <c r="Y370" s="11" t="e">
        <f t="shared" si="327"/>
        <v>#REF!</v>
      </c>
      <c r="Z370" s="11" t="e">
        <f t="shared" si="328"/>
        <v>#REF!</v>
      </c>
      <c r="AA370" s="11" t="e">
        <f t="shared" si="329"/>
        <v>#REF!</v>
      </c>
    </row>
    <row r="371" spans="1:27" s="3" customFormat="1" x14ac:dyDescent="0.2">
      <c r="A371" s="4"/>
      <c r="B371" s="9">
        <v>7</v>
      </c>
      <c r="C371" s="9" t="s">
        <v>36</v>
      </c>
      <c r="D371" s="10" t="s">
        <v>15</v>
      </c>
      <c r="E371" s="19" t="s">
        <v>12</v>
      </c>
      <c r="F371" s="10" t="str">
        <f t="shared" si="305"/>
        <v>7QPPREMIUM</v>
      </c>
      <c r="G371" s="11">
        <v>26.330400000000001</v>
      </c>
      <c r="H371" s="11">
        <v>26.330400000000001</v>
      </c>
      <c r="I371" s="11">
        <v>26.330400000000001</v>
      </c>
      <c r="J371" s="11">
        <v>26.330400000000001</v>
      </c>
      <c r="K371" s="11">
        <v>26.330400000000001</v>
      </c>
      <c r="M371" s="11">
        <f t="shared" si="330"/>
        <v>10.31</v>
      </c>
      <c r="O371" s="11" t="e">
        <f>#REF!</f>
        <v>#REF!</v>
      </c>
      <c r="P371" s="22" t="e">
        <f t="shared" ref="P371:S371" si="336">O371</f>
        <v>#REF!</v>
      </c>
      <c r="Q371" s="22" t="e">
        <f t="shared" si="336"/>
        <v>#REF!</v>
      </c>
      <c r="R371" s="22" t="e">
        <f t="shared" si="336"/>
        <v>#REF!</v>
      </c>
      <c r="S371" s="22" t="e">
        <f t="shared" si="336"/>
        <v>#REF!</v>
      </c>
      <c r="U371" s="11" t="e">
        <f>#REF!</f>
        <v>#REF!</v>
      </c>
      <c r="W371" s="11" t="e">
        <f t="shared" si="325"/>
        <v>#REF!</v>
      </c>
      <c r="X371" s="11" t="e">
        <f t="shared" si="326"/>
        <v>#REF!</v>
      </c>
      <c r="Y371" s="11" t="e">
        <f t="shared" si="327"/>
        <v>#REF!</v>
      </c>
      <c r="Z371" s="11" t="e">
        <f t="shared" si="328"/>
        <v>#REF!</v>
      </c>
      <c r="AA371" s="11" t="e">
        <f t="shared" si="329"/>
        <v>#REF!</v>
      </c>
    </row>
    <row r="372" spans="1:27" s="3" customFormat="1" x14ac:dyDescent="0.2">
      <c r="A372" s="4"/>
      <c r="B372" s="9">
        <v>8</v>
      </c>
      <c r="C372" s="9" t="s">
        <v>36</v>
      </c>
      <c r="D372" s="10" t="s">
        <v>15</v>
      </c>
      <c r="E372" s="19" t="s">
        <v>12</v>
      </c>
      <c r="F372" s="10" t="str">
        <f t="shared" si="305"/>
        <v>8QPPREMIUM</v>
      </c>
      <c r="G372" s="11">
        <v>37.725749999999998</v>
      </c>
      <c r="H372" s="11">
        <v>37.725749999999998</v>
      </c>
      <c r="I372" s="11">
        <v>37.725749999999998</v>
      </c>
      <c r="J372" s="11">
        <v>37.725749999999998</v>
      </c>
      <c r="K372" s="11">
        <v>37.725749999999998</v>
      </c>
      <c r="M372" s="11">
        <f t="shared" si="330"/>
        <v>10.31</v>
      </c>
      <c r="O372" s="11" t="e">
        <f>#REF!</f>
        <v>#REF!</v>
      </c>
      <c r="P372" s="22" t="e">
        <f t="shared" ref="P372:S372" si="337">O372</f>
        <v>#REF!</v>
      </c>
      <c r="Q372" s="22" t="e">
        <f t="shared" si="337"/>
        <v>#REF!</v>
      </c>
      <c r="R372" s="22" t="e">
        <f t="shared" si="337"/>
        <v>#REF!</v>
      </c>
      <c r="S372" s="22" t="e">
        <f t="shared" si="337"/>
        <v>#REF!</v>
      </c>
      <c r="U372" s="11" t="e">
        <f>#REF!</f>
        <v>#REF!</v>
      </c>
      <c r="W372" s="11" t="e">
        <f t="shared" si="325"/>
        <v>#REF!</v>
      </c>
      <c r="X372" s="11" t="e">
        <f t="shared" si="326"/>
        <v>#REF!</v>
      </c>
      <c r="Y372" s="11" t="e">
        <f t="shared" si="327"/>
        <v>#REF!</v>
      </c>
      <c r="Z372" s="11" t="e">
        <f t="shared" si="328"/>
        <v>#REF!</v>
      </c>
      <c r="AA372" s="11" t="e">
        <f t="shared" si="329"/>
        <v>#REF!</v>
      </c>
    </row>
    <row r="373" spans="1:27" s="3" customFormat="1" x14ac:dyDescent="0.2">
      <c r="A373" s="4"/>
      <c r="B373" s="9">
        <v>9</v>
      </c>
      <c r="C373" s="9" t="s">
        <v>36</v>
      </c>
      <c r="D373" s="10" t="s">
        <v>15</v>
      </c>
      <c r="E373" s="19" t="s">
        <v>12</v>
      </c>
      <c r="F373" s="10" t="str">
        <f t="shared" si="305"/>
        <v>9QPPREMIUM</v>
      </c>
      <c r="G373" s="11">
        <v>64.418399999999991</v>
      </c>
      <c r="H373" s="11">
        <v>64.418399999999991</v>
      </c>
      <c r="I373" s="11">
        <v>64.418399999999991</v>
      </c>
      <c r="J373" s="11">
        <v>64.418399999999991</v>
      </c>
      <c r="K373" s="11">
        <v>64.418399999999991</v>
      </c>
      <c r="M373" s="11">
        <f t="shared" si="330"/>
        <v>10.31</v>
      </c>
      <c r="O373" s="11" t="e">
        <f>#REF!</f>
        <v>#REF!</v>
      </c>
      <c r="P373" s="22" t="e">
        <f t="shared" ref="P373:S373" si="338">O373</f>
        <v>#REF!</v>
      </c>
      <c r="Q373" s="22" t="e">
        <f t="shared" si="338"/>
        <v>#REF!</v>
      </c>
      <c r="R373" s="22" t="e">
        <f t="shared" si="338"/>
        <v>#REF!</v>
      </c>
      <c r="S373" s="22" t="e">
        <f t="shared" si="338"/>
        <v>#REF!</v>
      </c>
      <c r="U373" s="11" t="e">
        <f>#REF!</f>
        <v>#REF!</v>
      </c>
      <c r="W373" s="11" t="e">
        <f t="shared" si="325"/>
        <v>#REF!</v>
      </c>
      <c r="X373" s="11" t="e">
        <f t="shared" si="326"/>
        <v>#REF!</v>
      </c>
      <c r="Y373" s="11" t="e">
        <f t="shared" si="327"/>
        <v>#REF!</v>
      </c>
      <c r="Z373" s="11" t="e">
        <f t="shared" si="328"/>
        <v>#REF!</v>
      </c>
      <c r="AA373" s="11" t="e">
        <f t="shared" si="329"/>
        <v>#REF!</v>
      </c>
    </row>
    <row r="374" spans="1:27" s="3" customFormat="1" x14ac:dyDescent="0.2">
      <c r="A374" s="4"/>
      <c r="B374" s="9">
        <v>10</v>
      </c>
      <c r="C374" s="9" t="s">
        <v>36</v>
      </c>
      <c r="D374" s="10" t="s">
        <v>15</v>
      </c>
      <c r="E374" s="19" t="s">
        <v>12</v>
      </c>
      <c r="F374" s="10" t="str">
        <f t="shared" si="305"/>
        <v>10QPPREMIUM</v>
      </c>
      <c r="G374" s="11">
        <v>67.161149999999992</v>
      </c>
      <c r="H374" s="11">
        <v>67.161149999999992</v>
      </c>
      <c r="I374" s="11">
        <v>67.161149999999992</v>
      </c>
      <c r="J374" s="11">
        <v>67.161149999999992</v>
      </c>
      <c r="K374" s="11">
        <v>67.161149999999992</v>
      </c>
      <c r="M374" s="11">
        <f t="shared" si="330"/>
        <v>10.31</v>
      </c>
      <c r="O374" s="11" t="e">
        <f>#REF!</f>
        <v>#REF!</v>
      </c>
      <c r="P374" s="22" t="e">
        <f t="shared" ref="P374:S374" si="339">O374</f>
        <v>#REF!</v>
      </c>
      <c r="Q374" s="22" t="e">
        <f t="shared" si="339"/>
        <v>#REF!</v>
      </c>
      <c r="R374" s="22" t="e">
        <f t="shared" si="339"/>
        <v>#REF!</v>
      </c>
      <c r="S374" s="22" t="e">
        <f t="shared" si="339"/>
        <v>#REF!</v>
      </c>
      <c r="U374" s="11" t="e">
        <f>#REF!</f>
        <v>#REF!</v>
      </c>
      <c r="W374" s="11" t="e">
        <f t="shared" si="325"/>
        <v>#REF!</v>
      </c>
      <c r="X374" s="11" t="e">
        <f t="shared" si="326"/>
        <v>#REF!</v>
      </c>
      <c r="Y374" s="11" t="e">
        <f t="shared" si="327"/>
        <v>#REF!</v>
      </c>
      <c r="Z374" s="11" t="e">
        <f t="shared" si="328"/>
        <v>#REF!</v>
      </c>
      <c r="AA374" s="11" t="e">
        <f t="shared" si="329"/>
        <v>#REF!</v>
      </c>
    </row>
    <row r="375" spans="1:27" s="3" customFormat="1" x14ac:dyDescent="0.2">
      <c r="A375" s="4"/>
      <c r="B375" s="9">
        <v>11</v>
      </c>
      <c r="C375" s="9" t="s">
        <v>36</v>
      </c>
      <c r="D375" s="10" t="s">
        <v>15</v>
      </c>
      <c r="E375" s="19" t="s">
        <v>12</v>
      </c>
      <c r="F375" s="10" t="str">
        <f t="shared" si="305"/>
        <v>11QPPREMIUM</v>
      </c>
      <c r="G375" s="11">
        <v>65.515499999999989</v>
      </c>
      <c r="H375" s="11">
        <v>65.515499999999989</v>
      </c>
      <c r="I375" s="11">
        <v>65.515499999999989</v>
      </c>
      <c r="J375" s="11">
        <v>65.515499999999989</v>
      </c>
      <c r="K375" s="11">
        <v>65.515499999999989</v>
      </c>
      <c r="M375" s="11">
        <f t="shared" si="330"/>
        <v>10.31</v>
      </c>
      <c r="O375" s="11" t="e">
        <f>#REF!</f>
        <v>#REF!</v>
      </c>
      <c r="P375" s="22" t="e">
        <f t="shared" ref="P375:S375" si="340">O375</f>
        <v>#REF!</v>
      </c>
      <c r="Q375" s="22" t="e">
        <f t="shared" si="340"/>
        <v>#REF!</v>
      </c>
      <c r="R375" s="22" t="e">
        <f t="shared" si="340"/>
        <v>#REF!</v>
      </c>
      <c r="S375" s="22" t="e">
        <f t="shared" si="340"/>
        <v>#REF!</v>
      </c>
      <c r="U375" s="11" t="e">
        <f>#REF!</f>
        <v>#REF!</v>
      </c>
      <c r="W375" s="11" t="e">
        <f t="shared" si="325"/>
        <v>#REF!</v>
      </c>
      <c r="X375" s="11" t="e">
        <f t="shared" si="326"/>
        <v>#REF!</v>
      </c>
      <c r="Y375" s="11" t="e">
        <f t="shared" si="327"/>
        <v>#REF!</v>
      </c>
      <c r="Z375" s="11" t="e">
        <f t="shared" si="328"/>
        <v>#REF!</v>
      </c>
      <c r="AA375" s="11" t="e">
        <f t="shared" si="329"/>
        <v>#REF!</v>
      </c>
    </row>
    <row r="376" spans="1:27" s="3" customFormat="1" x14ac:dyDescent="0.2">
      <c r="A376" s="4"/>
      <c r="B376" s="9">
        <v>12</v>
      </c>
      <c r="C376" s="9" t="s">
        <v>36</v>
      </c>
      <c r="D376" s="10" t="s">
        <v>15</v>
      </c>
      <c r="E376" s="19" t="s">
        <v>12</v>
      </c>
      <c r="F376" s="10" t="str">
        <f t="shared" si="305"/>
        <v>12QPPREMIUM</v>
      </c>
      <c r="G376" s="11">
        <v>111.64545</v>
      </c>
      <c r="H376" s="11">
        <v>111.64545</v>
      </c>
      <c r="I376" s="11">
        <v>111.64545</v>
      </c>
      <c r="J376" s="11">
        <v>111.64545</v>
      </c>
      <c r="K376" s="11">
        <v>111.64545</v>
      </c>
      <c r="M376" s="11">
        <f t="shared" si="330"/>
        <v>10.31</v>
      </c>
      <c r="O376" s="11" t="e">
        <f>#REF!</f>
        <v>#REF!</v>
      </c>
      <c r="P376" s="22" t="e">
        <f t="shared" ref="P376:S376" si="341">O376</f>
        <v>#REF!</v>
      </c>
      <c r="Q376" s="22" t="e">
        <f t="shared" si="341"/>
        <v>#REF!</v>
      </c>
      <c r="R376" s="22" t="e">
        <f t="shared" si="341"/>
        <v>#REF!</v>
      </c>
      <c r="S376" s="22" t="e">
        <f t="shared" si="341"/>
        <v>#REF!</v>
      </c>
      <c r="U376" s="11" t="e">
        <f>#REF!</f>
        <v>#REF!</v>
      </c>
      <c r="W376" s="11" t="e">
        <f t="shared" si="325"/>
        <v>#REF!</v>
      </c>
      <c r="X376" s="11" t="e">
        <f t="shared" si="326"/>
        <v>#REF!</v>
      </c>
      <c r="Y376" s="11" t="e">
        <f t="shared" si="327"/>
        <v>#REF!</v>
      </c>
      <c r="Z376" s="11" t="e">
        <f t="shared" si="328"/>
        <v>#REF!</v>
      </c>
      <c r="AA376" s="11" t="e">
        <f t="shared" si="329"/>
        <v>#REF!</v>
      </c>
    </row>
    <row r="377" spans="1:27" s="3" customFormat="1" x14ac:dyDescent="0.2">
      <c r="A377" s="4"/>
      <c r="B377" s="9">
        <v>13</v>
      </c>
      <c r="C377" s="9" t="s">
        <v>36</v>
      </c>
      <c r="D377" s="10" t="s">
        <v>15</v>
      </c>
      <c r="E377" s="19" t="s">
        <v>12</v>
      </c>
      <c r="F377" s="10" t="str">
        <f t="shared" si="305"/>
        <v>13QPPREMIUM</v>
      </c>
      <c r="G377" s="11">
        <v>144.89999999999998</v>
      </c>
      <c r="H377" s="11">
        <v>144.89999999999998</v>
      </c>
      <c r="I377" s="11">
        <v>144.89999999999998</v>
      </c>
      <c r="J377" s="11">
        <v>144.89999999999998</v>
      </c>
      <c r="K377" s="11">
        <v>144.89999999999998</v>
      </c>
      <c r="M377" s="11">
        <f t="shared" si="330"/>
        <v>10.31</v>
      </c>
      <c r="O377" s="11" t="e">
        <f>#REF!</f>
        <v>#REF!</v>
      </c>
      <c r="P377" s="22" t="e">
        <f t="shared" ref="P377:P378" si="342">O377</f>
        <v>#REF!</v>
      </c>
      <c r="Q377" s="22" t="e">
        <f t="shared" ref="Q377:Q378" si="343">P377</f>
        <v>#REF!</v>
      </c>
      <c r="R377" s="22" t="e">
        <f t="shared" ref="R377:R378" si="344">Q377</f>
        <v>#REF!</v>
      </c>
      <c r="S377" s="22" t="e">
        <f t="shared" ref="S377:S378" si="345">R377</f>
        <v>#REF!</v>
      </c>
      <c r="U377" s="11" t="e">
        <f>#REF!</f>
        <v>#REF!</v>
      </c>
      <c r="W377" s="11" t="e">
        <f t="shared" ref="W377:W378" si="346">G377+$M377+O377+$U377</f>
        <v>#REF!</v>
      </c>
      <c r="X377" s="11" t="e">
        <f t="shared" ref="X377:X378" si="347">H377+$M377+P377+$U377</f>
        <v>#REF!</v>
      </c>
      <c r="Y377" s="11" t="e">
        <f t="shared" ref="Y377:Y378" si="348">I377+$M377+Q377+$U377</f>
        <v>#REF!</v>
      </c>
      <c r="Z377" s="11" t="e">
        <f t="shared" ref="Z377:Z378" si="349">J377+$M377+R377+$U377</f>
        <v>#REF!</v>
      </c>
      <c r="AA377" s="11" t="e">
        <f t="shared" ref="AA377:AA378" si="350">K377+$M377+S377+$U377</f>
        <v>#REF!</v>
      </c>
    </row>
    <row r="378" spans="1:27" s="3" customFormat="1" x14ac:dyDescent="0.2">
      <c r="A378" s="4"/>
      <c r="B378" s="9">
        <v>14</v>
      </c>
      <c r="C378" s="9" t="s">
        <v>36</v>
      </c>
      <c r="D378" s="10" t="s">
        <v>15</v>
      </c>
      <c r="E378" s="19" t="s">
        <v>12</v>
      </c>
      <c r="F378" s="10" t="str">
        <f t="shared" si="305"/>
        <v>14QPPREMIUM</v>
      </c>
      <c r="G378" s="11">
        <v>160.42499999999998</v>
      </c>
      <c r="H378" s="11">
        <v>160.42499999999998</v>
      </c>
      <c r="I378" s="11">
        <v>160.42499999999998</v>
      </c>
      <c r="J378" s="11">
        <v>160.42499999999998</v>
      </c>
      <c r="K378" s="11">
        <v>160.42499999999998</v>
      </c>
      <c r="M378" s="11">
        <f t="shared" si="330"/>
        <v>10.31</v>
      </c>
      <c r="O378" s="11" t="e">
        <f>#REF!</f>
        <v>#REF!</v>
      </c>
      <c r="P378" s="22" t="e">
        <f t="shared" si="342"/>
        <v>#REF!</v>
      </c>
      <c r="Q378" s="22" t="e">
        <f t="shared" si="343"/>
        <v>#REF!</v>
      </c>
      <c r="R378" s="22" t="e">
        <f t="shared" si="344"/>
        <v>#REF!</v>
      </c>
      <c r="S378" s="22" t="e">
        <f t="shared" si="345"/>
        <v>#REF!</v>
      </c>
      <c r="U378" s="11" t="e">
        <f>#REF!</f>
        <v>#REF!</v>
      </c>
      <c r="W378" s="11" t="e">
        <f t="shared" si="346"/>
        <v>#REF!</v>
      </c>
      <c r="X378" s="11" t="e">
        <f t="shared" si="347"/>
        <v>#REF!</v>
      </c>
      <c r="Y378" s="11" t="e">
        <f t="shared" si="348"/>
        <v>#REF!</v>
      </c>
      <c r="Z378" s="11" t="e">
        <f t="shared" si="349"/>
        <v>#REF!</v>
      </c>
      <c r="AA378" s="11" t="e">
        <f t="shared" si="350"/>
        <v>#REF!</v>
      </c>
    </row>
    <row r="379" spans="1:27" s="3" customFormat="1" x14ac:dyDescent="0.2">
      <c r="A379" s="4"/>
      <c r="B379" s="9">
        <v>21</v>
      </c>
      <c r="C379" s="9" t="s">
        <v>37</v>
      </c>
      <c r="D379" s="10" t="s">
        <v>15</v>
      </c>
      <c r="E379" s="19" t="s">
        <v>12</v>
      </c>
      <c r="F379" s="10" t="str">
        <f t="shared" si="305"/>
        <v>21QPPREMIUM</v>
      </c>
      <c r="G379" s="12">
        <v>12.181949999999999</v>
      </c>
      <c r="H379" s="12">
        <v>12.181949999999999</v>
      </c>
      <c r="I379" s="12">
        <v>12.181949999999999</v>
      </c>
      <c r="J379" s="12">
        <v>12.181949999999999</v>
      </c>
      <c r="K379" s="12">
        <v>12.181949999999999</v>
      </c>
      <c r="M379" s="12">
        <f t="shared" si="330"/>
        <v>10.210000000000001</v>
      </c>
      <c r="O379" s="12" t="e">
        <f>#REF!</f>
        <v>#REF!</v>
      </c>
      <c r="P379" s="22" t="e">
        <f t="shared" ref="P379:S379" si="351">O379</f>
        <v>#REF!</v>
      </c>
      <c r="Q379" s="22" t="e">
        <f t="shared" si="351"/>
        <v>#REF!</v>
      </c>
      <c r="R379" s="22" t="e">
        <f t="shared" si="351"/>
        <v>#REF!</v>
      </c>
      <c r="S379" s="22" t="e">
        <f t="shared" si="351"/>
        <v>#REF!</v>
      </c>
      <c r="U379" s="12" t="e">
        <f>#REF!</f>
        <v>#REF!</v>
      </c>
      <c r="W379" s="12" t="e">
        <f t="shared" si="325"/>
        <v>#REF!</v>
      </c>
      <c r="X379" s="12" t="e">
        <f t="shared" si="326"/>
        <v>#REF!</v>
      </c>
      <c r="Y379" s="12" t="e">
        <f t="shared" si="327"/>
        <v>#REF!</v>
      </c>
      <c r="Z379" s="12" t="e">
        <f t="shared" si="328"/>
        <v>#REF!</v>
      </c>
      <c r="AA379" s="12" t="e">
        <f t="shared" si="329"/>
        <v>#REF!</v>
      </c>
    </row>
    <row r="380" spans="1:27" s="3" customFormat="1" x14ac:dyDescent="0.2">
      <c r="A380" s="4"/>
      <c r="B380" s="9">
        <v>22</v>
      </c>
      <c r="C380" s="9" t="s">
        <v>37</v>
      </c>
      <c r="D380" s="10" t="s">
        <v>15</v>
      </c>
      <c r="E380" s="19" t="s">
        <v>12</v>
      </c>
      <c r="F380" s="10" t="str">
        <f t="shared" si="305"/>
        <v>22QPPREMIUM</v>
      </c>
      <c r="G380" s="12">
        <v>15.369749999999998</v>
      </c>
      <c r="H380" s="12">
        <v>15.369749999999998</v>
      </c>
      <c r="I380" s="12">
        <v>15.369749999999998</v>
      </c>
      <c r="J380" s="12">
        <v>15.369749999999998</v>
      </c>
      <c r="K380" s="12">
        <v>15.369749999999998</v>
      </c>
      <c r="M380" s="12">
        <f t="shared" si="330"/>
        <v>10.210000000000001</v>
      </c>
      <c r="O380" s="12" t="e">
        <f>#REF!</f>
        <v>#REF!</v>
      </c>
      <c r="P380" s="22" t="e">
        <f t="shared" ref="P380:S380" si="352">O380</f>
        <v>#REF!</v>
      </c>
      <c r="Q380" s="22" t="e">
        <f t="shared" si="352"/>
        <v>#REF!</v>
      </c>
      <c r="R380" s="22" t="e">
        <f t="shared" si="352"/>
        <v>#REF!</v>
      </c>
      <c r="S380" s="22" t="e">
        <f t="shared" si="352"/>
        <v>#REF!</v>
      </c>
      <c r="U380" s="12" t="e">
        <f>#REF!</f>
        <v>#REF!</v>
      </c>
      <c r="W380" s="12" t="e">
        <f t="shared" si="325"/>
        <v>#REF!</v>
      </c>
      <c r="X380" s="12" t="e">
        <f t="shared" si="326"/>
        <v>#REF!</v>
      </c>
      <c r="Y380" s="12" t="e">
        <f t="shared" si="327"/>
        <v>#REF!</v>
      </c>
      <c r="Z380" s="12" t="e">
        <f t="shared" si="328"/>
        <v>#REF!</v>
      </c>
      <c r="AA380" s="12" t="e">
        <f t="shared" si="329"/>
        <v>#REF!</v>
      </c>
    </row>
    <row r="381" spans="1:27" s="3" customFormat="1" x14ac:dyDescent="0.2">
      <c r="A381" s="4"/>
      <c r="B381" s="9">
        <v>23</v>
      </c>
      <c r="C381" s="9" t="s">
        <v>37</v>
      </c>
      <c r="D381" s="10" t="s">
        <v>15</v>
      </c>
      <c r="E381" s="19" t="s">
        <v>12</v>
      </c>
      <c r="F381" s="10" t="str">
        <f t="shared" si="305"/>
        <v>23QPPREMIUM</v>
      </c>
      <c r="G381" s="12">
        <v>16.973999999999997</v>
      </c>
      <c r="H381" s="12">
        <v>16.973999999999997</v>
      </c>
      <c r="I381" s="12">
        <v>16.973999999999997</v>
      </c>
      <c r="J381" s="12">
        <v>16.973999999999997</v>
      </c>
      <c r="K381" s="12">
        <v>16.973999999999997</v>
      </c>
      <c r="M381" s="12">
        <f t="shared" si="330"/>
        <v>10.210000000000001</v>
      </c>
      <c r="O381" s="12" t="e">
        <f>#REF!</f>
        <v>#REF!</v>
      </c>
      <c r="P381" s="22" t="e">
        <f t="shared" ref="P381:S381" si="353">O381</f>
        <v>#REF!</v>
      </c>
      <c r="Q381" s="22" t="e">
        <f t="shared" si="353"/>
        <v>#REF!</v>
      </c>
      <c r="R381" s="22" t="e">
        <f t="shared" si="353"/>
        <v>#REF!</v>
      </c>
      <c r="S381" s="22" t="e">
        <f t="shared" si="353"/>
        <v>#REF!</v>
      </c>
      <c r="U381" s="12" t="e">
        <f>#REF!</f>
        <v>#REF!</v>
      </c>
      <c r="W381" s="12" t="e">
        <f t="shared" si="325"/>
        <v>#REF!</v>
      </c>
      <c r="X381" s="12" t="e">
        <f t="shared" si="326"/>
        <v>#REF!</v>
      </c>
      <c r="Y381" s="12" t="e">
        <f t="shared" si="327"/>
        <v>#REF!</v>
      </c>
      <c r="Z381" s="12" t="e">
        <f t="shared" si="328"/>
        <v>#REF!</v>
      </c>
      <c r="AA381" s="12" t="e">
        <f t="shared" si="329"/>
        <v>#REF!</v>
      </c>
    </row>
    <row r="382" spans="1:27" s="3" customFormat="1" x14ac:dyDescent="0.2">
      <c r="A382" s="4"/>
      <c r="B382" s="9">
        <v>24</v>
      </c>
      <c r="C382" s="9" t="s">
        <v>37</v>
      </c>
      <c r="D382" s="10" t="s">
        <v>15</v>
      </c>
      <c r="E382" s="19" t="s">
        <v>12</v>
      </c>
      <c r="F382" s="10" t="str">
        <f t="shared" si="305"/>
        <v>24QPPREMIUM</v>
      </c>
      <c r="G382" s="12">
        <v>18.412649999999999</v>
      </c>
      <c r="H382" s="12">
        <v>18.412649999999999</v>
      </c>
      <c r="I382" s="12">
        <v>18.412649999999999</v>
      </c>
      <c r="J382" s="12">
        <v>18.412649999999999</v>
      </c>
      <c r="K382" s="12">
        <v>18.412649999999999</v>
      </c>
      <c r="M382" s="12">
        <f t="shared" si="330"/>
        <v>10.210000000000001</v>
      </c>
      <c r="O382" s="12" t="e">
        <f>#REF!</f>
        <v>#REF!</v>
      </c>
      <c r="P382" s="22" t="e">
        <f t="shared" ref="P382:S382" si="354">O382</f>
        <v>#REF!</v>
      </c>
      <c r="Q382" s="22" t="e">
        <f t="shared" si="354"/>
        <v>#REF!</v>
      </c>
      <c r="R382" s="22" t="e">
        <f t="shared" si="354"/>
        <v>#REF!</v>
      </c>
      <c r="S382" s="22" t="e">
        <f t="shared" si="354"/>
        <v>#REF!</v>
      </c>
      <c r="U382" s="12" t="e">
        <f>#REF!</f>
        <v>#REF!</v>
      </c>
      <c r="W382" s="12" t="e">
        <f t="shared" si="325"/>
        <v>#REF!</v>
      </c>
      <c r="X382" s="12" t="e">
        <f t="shared" si="326"/>
        <v>#REF!</v>
      </c>
      <c r="Y382" s="12" t="e">
        <f t="shared" si="327"/>
        <v>#REF!</v>
      </c>
      <c r="Z382" s="12" t="e">
        <f t="shared" si="328"/>
        <v>#REF!</v>
      </c>
      <c r="AA382" s="12" t="e">
        <f t="shared" si="329"/>
        <v>#REF!</v>
      </c>
    </row>
    <row r="383" spans="1:27" s="3" customFormat="1" x14ac:dyDescent="0.2">
      <c r="A383" s="4"/>
      <c r="B383" s="9">
        <v>25</v>
      </c>
      <c r="C383" s="9" t="s">
        <v>37</v>
      </c>
      <c r="D383" s="10" t="s">
        <v>15</v>
      </c>
      <c r="E383" s="19" t="s">
        <v>12</v>
      </c>
      <c r="F383" s="10" t="str">
        <f t="shared" si="305"/>
        <v>25QPPREMIUM</v>
      </c>
      <c r="G383" s="12">
        <v>19.137149999999998</v>
      </c>
      <c r="H383" s="12">
        <v>19.137149999999998</v>
      </c>
      <c r="I383" s="12">
        <v>19.137149999999998</v>
      </c>
      <c r="J383" s="12">
        <v>19.137149999999998</v>
      </c>
      <c r="K383" s="12">
        <v>19.137149999999998</v>
      </c>
      <c r="M383" s="12">
        <f t="shared" si="330"/>
        <v>10.210000000000001</v>
      </c>
      <c r="O383" s="12" t="e">
        <f>#REF!</f>
        <v>#REF!</v>
      </c>
      <c r="P383" s="22" t="e">
        <f t="shared" ref="P383:S383" si="355">O383</f>
        <v>#REF!</v>
      </c>
      <c r="Q383" s="22" t="e">
        <f t="shared" si="355"/>
        <v>#REF!</v>
      </c>
      <c r="R383" s="22" t="e">
        <f t="shared" si="355"/>
        <v>#REF!</v>
      </c>
      <c r="S383" s="22" t="e">
        <f t="shared" si="355"/>
        <v>#REF!</v>
      </c>
      <c r="U383" s="12" t="e">
        <f>#REF!</f>
        <v>#REF!</v>
      </c>
      <c r="W383" s="12" t="e">
        <f t="shared" si="325"/>
        <v>#REF!</v>
      </c>
      <c r="X383" s="12" t="e">
        <f t="shared" si="326"/>
        <v>#REF!</v>
      </c>
      <c r="Y383" s="12" t="e">
        <f t="shared" si="327"/>
        <v>#REF!</v>
      </c>
      <c r="Z383" s="12" t="e">
        <f t="shared" si="328"/>
        <v>#REF!</v>
      </c>
      <c r="AA383" s="12" t="e">
        <f t="shared" si="329"/>
        <v>#REF!</v>
      </c>
    </row>
    <row r="384" spans="1:27" s="3" customFormat="1" x14ac:dyDescent="0.2">
      <c r="A384" s="4"/>
      <c r="B384" s="9">
        <v>26</v>
      </c>
      <c r="C384" s="9" t="s">
        <v>37</v>
      </c>
      <c r="D384" s="10" t="s">
        <v>15</v>
      </c>
      <c r="E384" s="19" t="s">
        <v>12</v>
      </c>
      <c r="F384" s="10" t="str">
        <f t="shared" si="305"/>
        <v>26QPPREMIUM</v>
      </c>
      <c r="G384" s="12">
        <v>21.455549999999999</v>
      </c>
      <c r="H384" s="12">
        <v>21.455549999999999</v>
      </c>
      <c r="I384" s="12">
        <v>21.455549999999999</v>
      </c>
      <c r="J384" s="12">
        <v>21.455549999999999</v>
      </c>
      <c r="K384" s="12">
        <v>21.455549999999999</v>
      </c>
      <c r="M384" s="12">
        <f t="shared" si="330"/>
        <v>10.210000000000001</v>
      </c>
      <c r="O384" s="12" t="e">
        <f>#REF!</f>
        <v>#REF!</v>
      </c>
      <c r="P384" s="22" t="e">
        <f t="shared" ref="P384:S384" si="356">O384</f>
        <v>#REF!</v>
      </c>
      <c r="Q384" s="22" t="e">
        <f t="shared" si="356"/>
        <v>#REF!</v>
      </c>
      <c r="R384" s="22" t="e">
        <f t="shared" si="356"/>
        <v>#REF!</v>
      </c>
      <c r="S384" s="22" t="e">
        <f t="shared" si="356"/>
        <v>#REF!</v>
      </c>
      <c r="U384" s="12" t="e">
        <f>#REF!</f>
        <v>#REF!</v>
      </c>
      <c r="W384" s="12" t="e">
        <f t="shared" si="325"/>
        <v>#REF!</v>
      </c>
      <c r="X384" s="12" t="e">
        <f t="shared" si="326"/>
        <v>#REF!</v>
      </c>
      <c r="Y384" s="12" t="e">
        <f t="shared" si="327"/>
        <v>#REF!</v>
      </c>
      <c r="Z384" s="12" t="e">
        <f t="shared" si="328"/>
        <v>#REF!</v>
      </c>
      <c r="AA384" s="12" t="e">
        <f t="shared" si="329"/>
        <v>#REF!</v>
      </c>
    </row>
    <row r="385" spans="1:27" s="3" customFormat="1" x14ac:dyDescent="0.2">
      <c r="A385" s="4"/>
      <c r="B385" s="9">
        <v>27</v>
      </c>
      <c r="C385" s="9" t="s">
        <v>37</v>
      </c>
      <c r="D385" s="10" t="s">
        <v>15</v>
      </c>
      <c r="E385" s="19" t="s">
        <v>12</v>
      </c>
      <c r="F385" s="10" t="str">
        <f t="shared" si="305"/>
        <v>27QPPREMIUM</v>
      </c>
      <c r="G385" s="12">
        <v>62.555399999999992</v>
      </c>
      <c r="H385" s="12">
        <v>62.555399999999992</v>
      </c>
      <c r="I385" s="12">
        <v>62.555399999999992</v>
      </c>
      <c r="J385" s="12">
        <v>62.555399999999992</v>
      </c>
      <c r="K385" s="12">
        <v>62.555399999999992</v>
      </c>
      <c r="M385" s="12">
        <f t="shared" si="330"/>
        <v>10.210000000000001</v>
      </c>
      <c r="O385" s="12" t="e">
        <f>#REF!</f>
        <v>#REF!</v>
      </c>
      <c r="P385" s="22" t="e">
        <f t="shared" ref="P385:S385" si="357">O385</f>
        <v>#REF!</v>
      </c>
      <c r="Q385" s="22" t="e">
        <f t="shared" si="357"/>
        <v>#REF!</v>
      </c>
      <c r="R385" s="22" t="e">
        <f t="shared" si="357"/>
        <v>#REF!</v>
      </c>
      <c r="S385" s="22" t="e">
        <f t="shared" si="357"/>
        <v>#REF!</v>
      </c>
      <c r="U385" s="12" t="e">
        <f>#REF!</f>
        <v>#REF!</v>
      </c>
      <c r="W385" s="12" t="e">
        <f t="shared" si="325"/>
        <v>#REF!</v>
      </c>
      <c r="X385" s="12" t="e">
        <f t="shared" si="326"/>
        <v>#REF!</v>
      </c>
      <c r="Y385" s="12" t="e">
        <f t="shared" si="327"/>
        <v>#REF!</v>
      </c>
      <c r="Z385" s="12" t="e">
        <f t="shared" si="328"/>
        <v>#REF!</v>
      </c>
      <c r="AA385" s="12" t="e">
        <f t="shared" si="329"/>
        <v>#REF!</v>
      </c>
    </row>
    <row r="386" spans="1:27" s="3" customFormat="1" x14ac:dyDescent="0.2">
      <c r="A386" s="4"/>
      <c r="B386" s="9">
        <v>28</v>
      </c>
      <c r="C386" s="9" t="s">
        <v>37</v>
      </c>
      <c r="D386" s="10" t="s">
        <v>15</v>
      </c>
      <c r="E386" s="19" t="s">
        <v>12</v>
      </c>
      <c r="F386" s="10" t="str">
        <f t="shared" si="305"/>
        <v>28QPPREMIUM</v>
      </c>
      <c r="G386" s="12">
        <v>65.846699999999998</v>
      </c>
      <c r="H386" s="12">
        <v>65.846699999999998</v>
      </c>
      <c r="I386" s="12">
        <v>65.846699999999998</v>
      </c>
      <c r="J386" s="12">
        <v>65.846699999999998</v>
      </c>
      <c r="K386" s="12">
        <v>65.846699999999998</v>
      </c>
      <c r="M386" s="12">
        <f t="shared" si="330"/>
        <v>10.210000000000001</v>
      </c>
      <c r="O386" s="12" t="e">
        <f>#REF!</f>
        <v>#REF!</v>
      </c>
      <c r="P386" s="22" t="e">
        <f t="shared" ref="P386:S386" si="358">O386</f>
        <v>#REF!</v>
      </c>
      <c r="Q386" s="22" t="e">
        <f t="shared" si="358"/>
        <v>#REF!</v>
      </c>
      <c r="R386" s="22" t="e">
        <f t="shared" si="358"/>
        <v>#REF!</v>
      </c>
      <c r="S386" s="22" t="e">
        <f t="shared" si="358"/>
        <v>#REF!</v>
      </c>
      <c r="U386" s="12" t="e">
        <f>#REF!</f>
        <v>#REF!</v>
      </c>
      <c r="W386" s="12" t="e">
        <f t="shared" si="325"/>
        <v>#REF!</v>
      </c>
      <c r="X386" s="12" t="e">
        <f t="shared" si="326"/>
        <v>#REF!</v>
      </c>
      <c r="Y386" s="12" t="e">
        <f t="shared" si="327"/>
        <v>#REF!</v>
      </c>
      <c r="Z386" s="12" t="e">
        <f t="shared" si="328"/>
        <v>#REF!</v>
      </c>
      <c r="AA386" s="12" t="e">
        <f t="shared" si="329"/>
        <v>#REF!</v>
      </c>
    </row>
    <row r="387" spans="1:27" s="3" customFormat="1" x14ac:dyDescent="0.2">
      <c r="A387" s="4"/>
      <c r="B387" s="9">
        <v>31</v>
      </c>
      <c r="C387" s="9" t="s">
        <v>46</v>
      </c>
      <c r="D387" s="10" t="s">
        <v>15</v>
      </c>
      <c r="E387" s="19" t="s">
        <v>12</v>
      </c>
      <c r="F387" s="10" t="str">
        <f t="shared" si="305"/>
        <v>31QPPREMIUM</v>
      </c>
      <c r="G387" s="13">
        <v>12.181949999999999</v>
      </c>
      <c r="H387" s="13">
        <v>12.181949999999999</v>
      </c>
      <c r="I387" s="13">
        <v>12.181949999999999</v>
      </c>
      <c r="J387" s="13">
        <v>12.181949999999999</v>
      </c>
      <c r="K387" s="13">
        <v>12.181949999999999</v>
      </c>
      <c r="M387" s="13">
        <f t="shared" si="330"/>
        <v>10.210000000000001</v>
      </c>
      <c r="O387" s="13" t="e">
        <f>#REF!</f>
        <v>#REF!</v>
      </c>
      <c r="P387" s="22" t="e">
        <f t="shared" ref="P387:S387" si="359">O387</f>
        <v>#REF!</v>
      </c>
      <c r="Q387" s="22" t="e">
        <f t="shared" si="359"/>
        <v>#REF!</v>
      </c>
      <c r="R387" s="22" t="e">
        <f t="shared" si="359"/>
        <v>#REF!</v>
      </c>
      <c r="S387" s="22" t="e">
        <f t="shared" si="359"/>
        <v>#REF!</v>
      </c>
      <c r="U387" s="13" t="e">
        <f>#REF!</f>
        <v>#REF!</v>
      </c>
      <c r="W387" s="13" t="e">
        <f t="shared" si="325"/>
        <v>#REF!</v>
      </c>
      <c r="X387" s="13" t="e">
        <f t="shared" si="326"/>
        <v>#REF!</v>
      </c>
      <c r="Y387" s="13" t="e">
        <f t="shared" si="327"/>
        <v>#REF!</v>
      </c>
      <c r="Z387" s="13" t="e">
        <f t="shared" si="328"/>
        <v>#REF!</v>
      </c>
      <c r="AA387" s="13" t="e">
        <f t="shared" si="329"/>
        <v>#REF!</v>
      </c>
    </row>
    <row r="388" spans="1:27" s="3" customFormat="1" x14ac:dyDescent="0.2">
      <c r="A388" s="4"/>
      <c r="B388" s="9">
        <v>32</v>
      </c>
      <c r="C388" s="9" t="s">
        <v>46</v>
      </c>
      <c r="D388" s="10" t="s">
        <v>15</v>
      </c>
      <c r="E388" s="19" t="s">
        <v>12</v>
      </c>
      <c r="F388" s="10" t="str">
        <f t="shared" si="305"/>
        <v>32QPPREMIUM</v>
      </c>
      <c r="G388" s="13">
        <v>15.121349999999998</v>
      </c>
      <c r="H388" s="13">
        <v>15.121349999999998</v>
      </c>
      <c r="I388" s="13">
        <v>15.121349999999998</v>
      </c>
      <c r="J388" s="13">
        <v>15.121349999999998</v>
      </c>
      <c r="K388" s="13">
        <v>15.121349999999998</v>
      </c>
      <c r="M388" s="13">
        <f t="shared" si="330"/>
        <v>10.210000000000001</v>
      </c>
      <c r="O388" s="13" t="e">
        <f>#REF!</f>
        <v>#REF!</v>
      </c>
      <c r="P388" s="22" t="e">
        <f t="shared" ref="P388:S388" si="360">O388</f>
        <v>#REF!</v>
      </c>
      <c r="Q388" s="22" t="e">
        <f t="shared" si="360"/>
        <v>#REF!</v>
      </c>
      <c r="R388" s="22" t="e">
        <f t="shared" si="360"/>
        <v>#REF!</v>
      </c>
      <c r="S388" s="22" t="e">
        <f t="shared" si="360"/>
        <v>#REF!</v>
      </c>
      <c r="U388" s="13" t="e">
        <f>#REF!</f>
        <v>#REF!</v>
      </c>
      <c r="W388" s="13" t="e">
        <f t="shared" si="325"/>
        <v>#REF!</v>
      </c>
      <c r="X388" s="13" t="e">
        <f t="shared" si="326"/>
        <v>#REF!</v>
      </c>
      <c r="Y388" s="13" t="e">
        <f t="shared" si="327"/>
        <v>#REF!</v>
      </c>
      <c r="Z388" s="13" t="e">
        <f t="shared" si="328"/>
        <v>#REF!</v>
      </c>
      <c r="AA388" s="13" t="e">
        <f t="shared" si="329"/>
        <v>#REF!</v>
      </c>
    </row>
    <row r="389" spans="1:27" s="3" customFormat="1" x14ac:dyDescent="0.2">
      <c r="A389" s="4"/>
      <c r="B389" s="9">
        <v>33</v>
      </c>
      <c r="C389" s="9" t="s">
        <v>46</v>
      </c>
      <c r="D389" s="10" t="s">
        <v>15</v>
      </c>
      <c r="E389" s="19" t="s">
        <v>12</v>
      </c>
      <c r="F389" s="10" t="str">
        <f t="shared" si="305"/>
        <v>33QPPREMIUM</v>
      </c>
      <c r="G389" s="13">
        <v>17.232749999999996</v>
      </c>
      <c r="H389" s="13">
        <v>17.232749999999996</v>
      </c>
      <c r="I389" s="13">
        <v>17.232749999999996</v>
      </c>
      <c r="J389" s="13">
        <v>17.232749999999996</v>
      </c>
      <c r="K389" s="13">
        <v>17.232749999999996</v>
      </c>
      <c r="M389" s="13">
        <f t="shared" si="330"/>
        <v>10.210000000000001</v>
      </c>
      <c r="O389" s="13" t="e">
        <f>#REF!</f>
        <v>#REF!</v>
      </c>
      <c r="P389" s="22" t="e">
        <f t="shared" ref="P389:S389" si="361">O389</f>
        <v>#REF!</v>
      </c>
      <c r="Q389" s="22" t="e">
        <f t="shared" si="361"/>
        <v>#REF!</v>
      </c>
      <c r="R389" s="22" t="e">
        <f t="shared" si="361"/>
        <v>#REF!</v>
      </c>
      <c r="S389" s="22" t="e">
        <f t="shared" si="361"/>
        <v>#REF!</v>
      </c>
      <c r="U389" s="13" t="e">
        <f>#REF!</f>
        <v>#REF!</v>
      </c>
      <c r="W389" s="13" t="e">
        <f t="shared" si="325"/>
        <v>#REF!</v>
      </c>
      <c r="X389" s="13" t="e">
        <f t="shared" si="326"/>
        <v>#REF!</v>
      </c>
      <c r="Y389" s="13" t="e">
        <f t="shared" si="327"/>
        <v>#REF!</v>
      </c>
      <c r="Z389" s="13" t="e">
        <f t="shared" si="328"/>
        <v>#REF!</v>
      </c>
      <c r="AA389" s="13" t="e">
        <f t="shared" si="329"/>
        <v>#REF!</v>
      </c>
    </row>
    <row r="390" spans="1:27" s="3" customFormat="1" x14ac:dyDescent="0.2">
      <c r="A390" s="4"/>
      <c r="B390" s="9">
        <v>34</v>
      </c>
      <c r="C390" s="9" t="s">
        <v>46</v>
      </c>
      <c r="D390" s="10" t="s">
        <v>15</v>
      </c>
      <c r="E390" s="19" t="s">
        <v>12</v>
      </c>
      <c r="F390" s="10" t="str">
        <f t="shared" si="305"/>
        <v>34QPPREMIUM</v>
      </c>
      <c r="G390" s="13">
        <v>19.116449999999997</v>
      </c>
      <c r="H390" s="13">
        <v>19.116449999999997</v>
      </c>
      <c r="I390" s="13">
        <v>19.116449999999997</v>
      </c>
      <c r="J390" s="13">
        <v>19.116449999999997</v>
      </c>
      <c r="K390" s="13">
        <v>19.116449999999997</v>
      </c>
      <c r="M390" s="13">
        <f t="shared" si="330"/>
        <v>10.210000000000001</v>
      </c>
      <c r="O390" s="13" t="e">
        <f>#REF!</f>
        <v>#REF!</v>
      </c>
      <c r="P390" s="22" t="e">
        <f t="shared" ref="P390:S390" si="362">O390</f>
        <v>#REF!</v>
      </c>
      <c r="Q390" s="22" t="e">
        <f t="shared" si="362"/>
        <v>#REF!</v>
      </c>
      <c r="R390" s="22" t="e">
        <f t="shared" si="362"/>
        <v>#REF!</v>
      </c>
      <c r="S390" s="22" t="e">
        <f t="shared" si="362"/>
        <v>#REF!</v>
      </c>
      <c r="U390" s="13" t="e">
        <f>#REF!</f>
        <v>#REF!</v>
      </c>
      <c r="W390" s="13" t="e">
        <f t="shared" si="325"/>
        <v>#REF!</v>
      </c>
      <c r="X390" s="13" t="e">
        <f t="shared" si="326"/>
        <v>#REF!</v>
      </c>
      <c r="Y390" s="13" t="e">
        <f t="shared" si="327"/>
        <v>#REF!</v>
      </c>
      <c r="Z390" s="13" t="e">
        <f t="shared" si="328"/>
        <v>#REF!</v>
      </c>
      <c r="AA390" s="13" t="e">
        <f t="shared" si="329"/>
        <v>#REF!</v>
      </c>
    </row>
    <row r="391" spans="1:27" s="3" customFormat="1" x14ac:dyDescent="0.2">
      <c r="A391" s="4"/>
      <c r="B391" s="9">
        <v>35</v>
      </c>
      <c r="C391" s="9" t="s">
        <v>46</v>
      </c>
      <c r="D391" s="10" t="s">
        <v>15</v>
      </c>
      <c r="E391" s="19" t="s">
        <v>12</v>
      </c>
      <c r="F391" s="10" t="str">
        <f t="shared" si="305"/>
        <v>35QPPREMIUM</v>
      </c>
      <c r="G391" s="13">
        <v>20.389499999999998</v>
      </c>
      <c r="H391" s="13">
        <v>20.389499999999998</v>
      </c>
      <c r="I391" s="13">
        <v>20.389499999999998</v>
      </c>
      <c r="J391" s="13">
        <v>20.389499999999998</v>
      </c>
      <c r="K391" s="13">
        <v>20.389499999999998</v>
      </c>
      <c r="M391" s="13">
        <f t="shared" si="330"/>
        <v>10.210000000000001</v>
      </c>
      <c r="O391" s="13" t="e">
        <f>#REF!</f>
        <v>#REF!</v>
      </c>
      <c r="P391" s="22" t="e">
        <f t="shared" ref="P391:S391" si="363">O391</f>
        <v>#REF!</v>
      </c>
      <c r="Q391" s="22" t="e">
        <f t="shared" si="363"/>
        <v>#REF!</v>
      </c>
      <c r="R391" s="22" t="e">
        <f t="shared" si="363"/>
        <v>#REF!</v>
      </c>
      <c r="S391" s="22" t="e">
        <f t="shared" si="363"/>
        <v>#REF!</v>
      </c>
      <c r="U391" s="13" t="e">
        <f>#REF!</f>
        <v>#REF!</v>
      </c>
      <c r="W391" s="13" t="e">
        <f t="shared" si="325"/>
        <v>#REF!</v>
      </c>
      <c r="X391" s="13" t="e">
        <f t="shared" si="326"/>
        <v>#REF!</v>
      </c>
      <c r="Y391" s="13" t="e">
        <f t="shared" si="327"/>
        <v>#REF!</v>
      </c>
      <c r="Z391" s="13" t="e">
        <f t="shared" si="328"/>
        <v>#REF!</v>
      </c>
      <c r="AA391" s="13" t="e">
        <f t="shared" si="329"/>
        <v>#REF!</v>
      </c>
    </row>
    <row r="392" spans="1:27" s="3" customFormat="1" x14ac:dyDescent="0.2">
      <c r="A392" s="4"/>
      <c r="B392" s="9">
        <v>41</v>
      </c>
      <c r="C392" s="9" t="s">
        <v>38</v>
      </c>
      <c r="D392" s="10" t="s">
        <v>15</v>
      </c>
      <c r="E392" s="19" t="s">
        <v>12</v>
      </c>
      <c r="F392" s="10" t="str">
        <f t="shared" si="305"/>
        <v>41QPPREMIUM</v>
      </c>
      <c r="G392" s="14">
        <v>11.65</v>
      </c>
      <c r="H392" s="14">
        <v>11.65</v>
      </c>
      <c r="I392" s="14">
        <v>11.65</v>
      </c>
      <c r="J392" s="14">
        <v>11.65</v>
      </c>
      <c r="K392" s="14">
        <v>11.65</v>
      </c>
      <c r="M392" s="14">
        <f t="shared" si="330"/>
        <v>9.26</v>
      </c>
      <c r="O392" s="14" t="e">
        <f>#REF!</f>
        <v>#REF!</v>
      </c>
      <c r="P392" s="22" t="e">
        <f t="shared" ref="P392:S392" si="364">O392</f>
        <v>#REF!</v>
      </c>
      <c r="Q392" s="22" t="e">
        <f t="shared" si="364"/>
        <v>#REF!</v>
      </c>
      <c r="R392" s="22" t="e">
        <f t="shared" si="364"/>
        <v>#REF!</v>
      </c>
      <c r="S392" s="22" t="e">
        <f t="shared" si="364"/>
        <v>#REF!</v>
      </c>
      <c r="U392" s="14" t="e">
        <f>#REF!</f>
        <v>#REF!</v>
      </c>
      <c r="W392" s="14" t="e">
        <f t="shared" si="325"/>
        <v>#REF!</v>
      </c>
      <c r="X392" s="14" t="e">
        <f t="shared" si="326"/>
        <v>#REF!</v>
      </c>
      <c r="Y392" s="14" t="e">
        <f t="shared" si="327"/>
        <v>#REF!</v>
      </c>
      <c r="Z392" s="14" t="e">
        <f t="shared" si="328"/>
        <v>#REF!</v>
      </c>
      <c r="AA392" s="14" t="e">
        <f t="shared" si="329"/>
        <v>#REF!</v>
      </c>
    </row>
    <row r="393" spans="1:27" s="3" customFormat="1" x14ac:dyDescent="0.2">
      <c r="A393" s="4"/>
      <c r="B393" s="9">
        <v>42</v>
      </c>
      <c r="C393" s="9" t="s">
        <v>38</v>
      </c>
      <c r="D393" s="10" t="s">
        <v>15</v>
      </c>
      <c r="E393" s="19" t="s">
        <v>12</v>
      </c>
      <c r="F393" s="10" t="str">
        <f t="shared" si="305"/>
        <v>42QPPREMIUM</v>
      </c>
      <c r="G393" s="14">
        <v>13.15</v>
      </c>
      <c r="H393" s="14">
        <v>13.15</v>
      </c>
      <c r="I393" s="14">
        <v>13.15</v>
      </c>
      <c r="J393" s="14">
        <v>13.15</v>
      </c>
      <c r="K393" s="14">
        <v>13.15</v>
      </c>
      <c r="M393" s="14">
        <f t="shared" si="330"/>
        <v>9.26</v>
      </c>
      <c r="O393" s="14" t="e">
        <f>#REF!</f>
        <v>#REF!</v>
      </c>
      <c r="P393" s="22" t="e">
        <f t="shared" ref="P393:S393" si="365">O393</f>
        <v>#REF!</v>
      </c>
      <c r="Q393" s="22" t="e">
        <f t="shared" si="365"/>
        <v>#REF!</v>
      </c>
      <c r="R393" s="22" t="e">
        <f t="shared" si="365"/>
        <v>#REF!</v>
      </c>
      <c r="S393" s="22" t="e">
        <f t="shared" si="365"/>
        <v>#REF!</v>
      </c>
      <c r="U393" s="14" t="e">
        <f>#REF!</f>
        <v>#REF!</v>
      </c>
      <c r="W393" s="14" t="e">
        <f t="shared" si="325"/>
        <v>#REF!</v>
      </c>
      <c r="X393" s="14" t="e">
        <f t="shared" si="326"/>
        <v>#REF!</v>
      </c>
      <c r="Y393" s="14" t="e">
        <f t="shared" si="327"/>
        <v>#REF!</v>
      </c>
      <c r="Z393" s="14" t="e">
        <f t="shared" si="328"/>
        <v>#REF!</v>
      </c>
      <c r="AA393" s="14" t="e">
        <f t="shared" si="329"/>
        <v>#REF!</v>
      </c>
    </row>
    <row r="394" spans="1:27" s="3" customFormat="1" x14ac:dyDescent="0.2">
      <c r="A394" s="4"/>
      <c r="B394" s="9">
        <v>43</v>
      </c>
      <c r="C394" s="9" t="s">
        <v>38</v>
      </c>
      <c r="D394" s="10" t="s">
        <v>15</v>
      </c>
      <c r="E394" s="19" t="s">
        <v>12</v>
      </c>
      <c r="F394" s="10" t="str">
        <f t="shared" si="305"/>
        <v>43QPPREMIUM</v>
      </c>
      <c r="G394" s="14">
        <v>15.15</v>
      </c>
      <c r="H394" s="14">
        <v>15.15</v>
      </c>
      <c r="I394" s="14">
        <v>15.15</v>
      </c>
      <c r="J394" s="14">
        <v>15.15</v>
      </c>
      <c r="K394" s="14">
        <v>15.15</v>
      </c>
      <c r="M394" s="14">
        <f t="shared" si="330"/>
        <v>9.26</v>
      </c>
      <c r="O394" s="14" t="e">
        <f>#REF!</f>
        <v>#REF!</v>
      </c>
      <c r="P394" s="22" t="e">
        <f t="shared" ref="P394:S394" si="366">O394</f>
        <v>#REF!</v>
      </c>
      <c r="Q394" s="22" t="e">
        <f t="shared" si="366"/>
        <v>#REF!</v>
      </c>
      <c r="R394" s="22" t="e">
        <f t="shared" si="366"/>
        <v>#REF!</v>
      </c>
      <c r="S394" s="22" t="e">
        <f t="shared" si="366"/>
        <v>#REF!</v>
      </c>
      <c r="U394" s="14" t="e">
        <f>#REF!</f>
        <v>#REF!</v>
      </c>
      <c r="W394" s="14" t="e">
        <f t="shared" si="325"/>
        <v>#REF!</v>
      </c>
      <c r="X394" s="14" t="e">
        <f t="shared" si="326"/>
        <v>#REF!</v>
      </c>
      <c r="Y394" s="14" t="e">
        <f t="shared" si="327"/>
        <v>#REF!</v>
      </c>
      <c r="Z394" s="14" t="e">
        <f t="shared" si="328"/>
        <v>#REF!</v>
      </c>
      <c r="AA394" s="14" t="e">
        <f t="shared" si="329"/>
        <v>#REF!</v>
      </c>
    </row>
    <row r="395" spans="1:27" s="3" customFormat="1" x14ac:dyDescent="0.2">
      <c r="A395" s="4"/>
      <c r="B395" s="9">
        <v>44</v>
      </c>
      <c r="C395" s="9" t="s">
        <v>38</v>
      </c>
      <c r="D395" s="10" t="s">
        <v>15</v>
      </c>
      <c r="E395" s="19" t="s">
        <v>12</v>
      </c>
      <c r="F395" s="10" t="str">
        <f t="shared" si="305"/>
        <v>44QPPREMIUM</v>
      </c>
      <c r="G395" s="14">
        <v>44.59</v>
      </c>
      <c r="H395" s="14">
        <v>44.59</v>
      </c>
      <c r="I395" s="14">
        <v>44.59</v>
      </c>
      <c r="J395" s="14">
        <v>44.59</v>
      </c>
      <c r="K395" s="14">
        <v>44.59</v>
      </c>
      <c r="M395" s="14">
        <f t="shared" si="330"/>
        <v>9.26</v>
      </c>
      <c r="O395" s="14" t="e">
        <f>#REF!</f>
        <v>#REF!</v>
      </c>
      <c r="P395" s="22" t="e">
        <f t="shared" ref="P395:S395" si="367">O395</f>
        <v>#REF!</v>
      </c>
      <c r="Q395" s="22" t="e">
        <f t="shared" si="367"/>
        <v>#REF!</v>
      </c>
      <c r="R395" s="22" t="e">
        <f t="shared" si="367"/>
        <v>#REF!</v>
      </c>
      <c r="S395" s="22" t="e">
        <f t="shared" si="367"/>
        <v>#REF!</v>
      </c>
      <c r="U395" s="14" t="e">
        <f>#REF!</f>
        <v>#REF!</v>
      </c>
      <c r="W395" s="14" t="e">
        <f t="shared" si="325"/>
        <v>#REF!</v>
      </c>
      <c r="X395" s="14" t="e">
        <f t="shared" si="326"/>
        <v>#REF!</v>
      </c>
      <c r="Y395" s="14" t="e">
        <f t="shared" si="327"/>
        <v>#REF!</v>
      </c>
      <c r="Z395" s="14" t="e">
        <f t="shared" si="328"/>
        <v>#REF!</v>
      </c>
      <c r="AA395" s="14" t="e">
        <f t="shared" si="329"/>
        <v>#REF!</v>
      </c>
    </row>
    <row r="396" spans="1:27" s="3" customFormat="1" x14ac:dyDescent="0.2">
      <c r="A396" s="4"/>
      <c r="B396" s="9">
        <v>45</v>
      </c>
      <c r="C396" s="9" t="s">
        <v>38</v>
      </c>
      <c r="D396" s="10" t="s">
        <v>15</v>
      </c>
      <c r="E396" s="19" t="s">
        <v>12</v>
      </c>
      <c r="F396" s="10" t="str">
        <f t="shared" si="305"/>
        <v>45QPPREMIUM</v>
      </c>
      <c r="G396" s="14">
        <v>47.65</v>
      </c>
      <c r="H396" s="14">
        <v>47.65</v>
      </c>
      <c r="I396" s="14">
        <v>47.65</v>
      </c>
      <c r="J396" s="14">
        <v>47.65</v>
      </c>
      <c r="K396" s="14">
        <v>47.65</v>
      </c>
      <c r="M396" s="14">
        <f t="shared" si="330"/>
        <v>9.26</v>
      </c>
      <c r="O396" s="14" t="e">
        <f>#REF!</f>
        <v>#REF!</v>
      </c>
      <c r="P396" s="22" t="e">
        <f t="shared" ref="P396:S396" si="368">O396</f>
        <v>#REF!</v>
      </c>
      <c r="Q396" s="22" t="e">
        <f t="shared" si="368"/>
        <v>#REF!</v>
      </c>
      <c r="R396" s="22" t="e">
        <f t="shared" si="368"/>
        <v>#REF!</v>
      </c>
      <c r="S396" s="22" t="e">
        <f t="shared" si="368"/>
        <v>#REF!</v>
      </c>
      <c r="U396" s="14" t="e">
        <f>#REF!</f>
        <v>#REF!</v>
      </c>
      <c r="W396" s="14" t="e">
        <f t="shared" si="325"/>
        <v>#REF!</v>
      </c>
      <c r="X396" s="14" t="e">
        <f t="shared" si="326"/>
        <v>#REF!</v>
      </c>
      <c r="Y396" s="14" t="e">
        <f t="shared" si="327"/>
        <v>#REF!</v>
      </c>
      <c r="Z396" s="14" t="e">
        <f t="shared" si="328"/>
        <v>#REF!</v>
      </c>
      <c r="AA396" s="14" t="e">
        <f t="shared" si="329"/>
        <v>#REF!</v>
      </c>
    </row>
    <row r="397" spans="1:27" x14ac:dyDescent="0.2">
      <c r="B397" s="9">
        <v>51</v>
      </c>
      <c r="C397" s="9" t="s">
        <v>39</v>
      </c>
      <c r="D397" s="10" t="s">
        <v>15</v>
      </c>
      <c r="E397" s="19" t="s">
        <v>12</v>
      </c>
      <c r="F397" s="10" t="str">
        <f t="shared" si="305"/>
        <v>51QPPREMIUM</v>
      </c>
      <c r="G397" s="18">
        <v>11.65</v>
      </c>
      <c r="H397" s="18">
        <v>11.65</v>
      </c>
      <c r="I397" s="18">
        <v>11.65</v>
      </c>
      <c r="J397" s="18">
        <v>11.65</v>
      </c>
      <c r="K397" s="18">
        <v>11.65</v>
      </c>
      <c r="M397" s="18">
        <f t="shared" si="330"/>
        <v>9.26</v>
      </c>
      <c r="O397" s="18" t="e">
        <f>#REF!</f>
        <v>#REF!</v>
      </c>
      <c r="P397" s="22" t="e">
        <f t="shared" ref="P397:S397" si="369">O397</f>
        <v>#REF!</v>
      </c>
      <c r="Q397" s="22" t="e">
        <f t="shared" si="369"/>
        <v>#REF!</v>
      </c>
      <c r="R397" s="22" t="e">
        <f t="shared" si="369"/>
        <v>#REF!</v>
      </c>
      <c r="S397" s="22" t="e">
        <f t="shared" si="369"/>
        <v>#REF!</v>
      </c>
      <c r="U397" s="18" t="e">
        <f>#REF!</f>
        <v>#REF!</v>
      </c>
      <c r="W397" s="18" t="e">
        <f t="shared" si="325"/>
        <v>#REF!</v>
      </c>
      <c r="X397" s="18" t="e">
        <f t="shared" si="326"/>
        <v>#REF!</v>
      </c>
      <c r="Y397" s="18" t="e">
        <f t="shared" si="327"/>
        <v>#REF!</v>
      </c>
      <c r="Z397" s="18" t="e">
        <f t="shared" si="328"/>
        <v>#REF!</v>
      </c>
      <c r="AA397" s="18" t="e">
        <f t="shared" si="329"/>
        <v>#REF!</v>
      </c>
    </row>
    <row r="398" spans="1:27" x14ac:dyDescent="0.2">
      <c r="B398" s="9">
        <v>52</v>
      </c>
      <c r="C398" s="9" t="s">
        <v>39</v>
      </c>
      <c r="D398" s="10" t="s">
        <v>15</v>
      </c>
      <c r="E398" s="19" t="s">
        <v>12</v>
      </c>
      <c r="F398" s="10" t="str">
        <f t="shared" si="305"/>
        <v>52QPPREMIUM</v>
      </c>
      <c r="G398" s="18">
        <v>13.15</v>
      </c>
      <c r="H398" s="18">
        <v>13.15</v>
      </c>
      <c r="I398" s="18">
        <v>13.15</v>
      </c>
      <c r="J398" s="18">
        <v>13.15</v>
      </c>
      <c r="K398" s="18">
        <v>13.15</v>
      </c>
      <c r="M398" s="18">
        <f t="shared" si="330"/>
        <v>9.26</v>
      </c>
      <c r="O398" s="18" t="e">
        <f>#REF!</f>
        <v>#REF!</v>
      </c>
      <c r="P398" s="22" t="e">
        <f t="shared" ref="P398:S398" si="370">O398</f>
        <v>#REF!</v>
      </c>
      <c r="Q398" s="22" t="e">
        <f t="shared" si="370"/>
        <v>#REF!</v>
      </c>
      <c r="R398" s="22" t="e">
        <f t="shared" si="370"/>
        <v>#REF!</v>
      </c>
      <c r="S398" s="22" t="e">
        <f t="shared" si="370"/>
        <v>#REF!</v>
      </c>
      <c r="U398" s="18" t="e">
        <f>#REF!</f>
        <v>#REF!</v>
      </c>
      <c r="W398" s="18" t="e">
        <f t="shared" si="325"/>
        <v>#REF!</v>
      </c>
      <c r="X398" s="18" t="e">
        <f t="shared" si="326"/>
        <v>#REF!</v>
      </c>
      <c r="Y398" s="18" t="e">
        <f t="shared" si="327"/>
        <v>#REF!</v>
      </c>
      <c r="Z398" s="18" t="e">
        <f t="shared" si="328"/>
        <v>#REF!</v>
      </c>
      <c r="AA398" s="18" t="e">
        <f t="shared" si="329"/>
        <v>#REF!</v>
      </c>
    </row>
    <row r="399" spans="1:27" x14ac:dyDescent="0.2">
      <c r="B399" s="9">
        <v>53</v>
      </c>
      <c r="C399" s="9" t="s">
        <v>39</v>
      </c>
      <c r="D399" s="10" t="s">
        <v>15</v>
      </c>
      <c r="E399" s="19" t="s">
        <v>12</v>
      </c>
      <c r="F399" s="10" t="str">
        <f t="shared" si="305"/>
        <v>53QPPREMIUM</v>
      </c>
      <c r="G399" s="18">
        <v>15.15</v>
      </c>
      <c r="H399" s="18">
        <v>15.15</v>
      </c>
      <c r="I399" s="18">
        <v>15.15</v>
      </c>
      <c r="J399" s="18">
        <v>15.15</v>
      </c>
      <c r="K399" s="18">
        <v>15.15</v>
      </c>
      <c r="M399" s="18">
        <f t="shared" si="330"/>
        <v>9.26</v>
      </c>
      <c r="O399" s="18" t="e">
        <f>#REF!</f>
        <v>#REF!</v>
      </c>
      <c r="P399" s="22" t="e">
        <f t="shared" ref="P399:S399" si="371">O399</f>
        <v>#REF!</v>
      </c>
      <c r="Q399" s="22" t="e">
        <f t="shared" si="371"/>
        <v>#REF!</v>
      </c>
      <c r="R399" s="22" t="e">
        <f t="shared" si="371"/>
        <v>#REF!</v>
      </c>
      <c r="S399" s="22" t="e">
        <f t="shared" si="371"/>
        <v>#REF!</v>
      </c>
      <c r="U399" s="18" t="e">
        <f>#REF!</f>
        <v>#REF!</v>
      </c>
      <c r="W399" s="18" t="e">
        <f t="shared" si="325"/>
        <v>#REF!</v>
      </c>
      <c r="X399" s="18" t="e">
        <f t="shared" si="326"/>
        <v>#REF!</v>
      </c>
      <c r="Y399" s="18" t="e">
        <f t="shared" si="327"/>
        <v>#REF!</v>
      </c>
      <c r="Z399" s="18" t="e">
        <f t="shared" si="328"/>
        <v>#REF!</v>
      </c>
      <c r="AA399" s="18" t="e">
        <f t="shared" si="329"/>
        <v>#REF!</v>
      </c>
    </row>
    <row r="400" spans="1:27" x14ac:dyDescent="0.2">
      <c r="B400" s="9">
        <v>54</v>
      </c>
      <c r="C400" s="9" t="s">
        <v>39</v>
      </c>
      <c r="D400" s="10" t="s">
        <v>15</v>
      </c>
      <c r="E400" s="19" t="s">
        <v>12</v>
      </c>
      <c r="F400" s="10" t="str">
        <f t="shared" si="305"/>
        <v>54QPPREMIUM</v>
      </c>
      <c r="G400" s="18">
        <v>16.149999999999999</v>
      </c>
      <c r="H400" s="18">
        <v>16.149999999999999</v>
      </c>
      <c r="I400" s="18">
        <v>16.149999999999999</v>
      </c>
      <c r="J400" s="18">
        <v>16.149999999999999</v>
      </c>
      <c r="K400" s="18">
        <v>16.149999999999999</v>
      </c>
      <c r="M400" s="18">
        <f t="shared" si="330"/>
        <v>9.26</v>
      </c>
      <c r="O400" s="18" t="e">
        <f>#REF!</f>
        <v>#REF!</v>
      </c>
      <c r="P400" s="22" t="e">
        <f t="shared" ref="P400:S400" si="372">O400</f>
        <v>#REF!</v>
      </c>
      <c r="Q400" s="22" t="e">
        <f t="shared" si="372"/>
        <v>#REF!</v>
      </c>
      <c r="R400" s="22" t="e">
        <f t="shared" si="372"/>
        <v>#REF!</v>
      </c>
      <c r="S400" s="22" t="e">
        <f t="shared" si="372"/>
        <v>#REF!</v>
      </c>
      <c r="U400" s="18" t="e">
        <f>#REF!</f>
        <v>#REF!</v>
      </c>
      <c r="W400" s="18" t="e">
        <f t="shared" si="325"/>
        <v>#REF!</v>
      </c>
      <c r="X400" s="18" t="e">
        <f t="shared" si="326"/>
        <v>#REF!</v>
      </c>
      <c r="Y400" s="18" t="e">
        <f t="shared" si="327"/>
        <v>#REF!</v>
      </c>
      <c r="Z400" s="18" t="e">
        <f t="shared" si="328"/>
        <v>#REF!</v>
      </c>
      <c r="AA400" s="18" t="e">
        <f t="shared" si="329"/>
        <v>#REF!</v>
      </c>
    </row>
    <row r="401" spans="1:27" s="3" customFormat="1" x14ac:dyDescent="0.2">
      <c r="A401" s="4"/>
      <c r="B401" s="9">
        <v>1</v>
      </c>
      <c r="C401" s="9" t="s">
        <v>36</v>
      </c>
      <c r="D401" s="10" t="s">
        <v>15</v>
      </c>
      <c r="E401" s="20" t="s">
        <v>18</v>
      </c>
      <c r="F401" s="10" t="str">
        <f t="shared" si="305"/>
        <v>1QPECONOMY</v>
      </c>
      <c r="G401" s="11">
        <v>12.51525</v>
      </c>
      <c r="H401" s="11">
        <v>12.51525</v>
      </c>
      <c r="I401" s="11">
        <v>12.51525</v>
      </c>
      <c r="J401" s="11">
        <v>12.51525</v>
      </c>
      <c r="K401" s="11">
        <v>12.51525</v>
      </c>
      <c r="M401" s="11">
        <f t="shared" si="330"/>
        <v>10.31</v>
      </c>
      <c r="O401" s="11" t="e">
        <f>#REF!</f>
        <v>#REF!</v>
      </c>
      <c r="P401" s="22" t="e">
        <f t="shared" ref="P401:S401" si="373">O401</f>
        <v>#REF!</v>
      </c>
      <c r="Q401" s="22" t="e">
        <f t="shared" si="373"/>
        <v>#REF!</v>
      </c>
      <c r="R401" s="22" t="e">
        <f t="shared" si="373"/>
        <v>#REF!</v>
      </c>
      <c r="S401" s="22" t="e">
        <f t="shared" si="373"/>
        <v>#REF!</v>
      </c>
      <c r="U401" s="11" t="e">
        <f>#REF!</f>
        <v>#REF!</v>
      </c>
      <c r="W401" s="11" t="e">
        <f t="shared" si="325"/>
        <v>#REF!</v>
      </c>
      <c r="X401" s="11" t="e">
        <f t="shared" si="326"/>
        <v>#REF!</v>
      </c>
      <c r="Y401" s="11" t="e">
        <f t="shared" si="327"/>
        <v>#REF!</v>
      </c>
      <c r="Z401" s="11" t="e">
        <f t="shared" si="328"/>
        <v>#REF!</v>
      </c>
      <c r="AA401" s="11" t="e">
        <f t="shared" si="329"/>
        <v>#REF!</v>
      </c>
    </row>
    <row r="402" spans="1:27" s="3" customFormat="1" x14ac:dyDescent="0.2">
      <c r="A402" s="4"/>
      <c r="B402" s="9">
        <v>2</v>
      </c>
      <c r="C402" s="9" t="s">
        <v>36</v>
      </c>
      <c r="D402" s="10" t="s">
        <v>15</v>
      </c>
      <c r="E402" s="20" t="s">
        <v>18</v>
      </c>
      <c r="F402" s="10" t="str">
        <f t="shared" si="305"/>
        <v>2QPECONOMY</v>
      </c>
      <c r="G402" s="11">
        <v>13.673499999999999</v>
      </c>
      <c r="H402" s="11">
        <v>13.673499999999999</v>
      </c>
      <c r="I402" s="11">
        <v>13.673499999999999</v>
      </c>
      <c r="J402" s="11">
        <v>13.673499999999999</v>
      </c>
      <c r="K402" s="11">
        <v>13.673499999999999</v>
      </c>
      <c r="M402" s="11">
        <f t="shared" si="330"/>
        <v>10.31</v>
      </c>
      <c r="O402" s="11" t="e">
        <f>#REF!</f>
        <v>#REF!</v>
      </c>
      <c r="P402" s="22" t="e">
        <f t="shared" ref="P402:S402" si="374">O402</f>
        <v>#REF!</v>
      </c>
      <c r="Q402" s="22" t="e">
        <f t="shared" si="374"/>
        <v>#REF!</v>
      </c>
      <c r="R402" s="22" t="e">
        <f t="shared" si="374"/>
        <v>#REF!</v>
      </c>
      <c r="S402" s="22" t="e">
        <f t="shared" si="374"/>
        <v>#REF!</v>
      </c>
      <c r="U402" s="11" t="e">
        <f>#REF!</f>
        <v>#REF!</v>
      </c>
      <c r="W402" s="11" t="e">
        <f t="shared" si="325"/>
        <v>#REF!</v>
      </c>
      <c r="X402" s="11" t="e">
        <f t="shared" si="326"/>
        <v>#REF!</v>
      </c>
      <c r="Y402" s="11" t="e">
        <f t="shared" si="327"/>
        <v>#REF!</v>
      </c>
      <c r="Z402" s="11" t="e">
        <f t="shared" si="328"/>
        <v>#REF!</v>
      </c>
      <c r="AA402" s="11" t="e">
        <f t="shared" si="329"/>
        <v>#REF!</v>
      </c>
    </row>
    <row r="403" spans="1:27" s="3" customFormat="1" x14ac:dyDescent="0.2">
      <c r="A403" s="4"/>
      <c r="B403" s="9">
        <v>3</v>
      </c>
      <c r="C403" s="9" t="s">
        <v>36</v>
      </c>
      <c r="D403" s="10" t="s">
        <v>15</v>
      </c>
      <c r="E403" s="20" t="s">
        <v>18</v>
      </c>
      <c r="F403" s="10" t="str">
        <f t="shared" si="305"/>
        <v>3QPECONOMY</v>
      </c>
      <c r="G403" s="11">
        <v>14.893249999999998</v>
      </c>
      <c r="H403" s="11">
        <v>14.893249999999998</v>
      </c>
      <c r="I403" s="11">
        <v>14.893249999999998</v>
      </c>
      <c r="J403" s="11">
        <v>14.893249999999998</v>
      </c>
      <c r="K403" s="11">
        <v>14.893249999999998</v>
      </c>
      <c r="M403" s="11">
        <f t="shared" si="330"/>
        <v>10.31</v>
      </c>
      <c r="O403" s="11" t="e">
        <f>#REF!</f>
        <v>#REF!</v>
      </c>
      <c r="P403" s="22" t="e">
        <f t="shared" ref="P403:S403" si="375">O403</f>
        <v>#REF!</v>
      </c>
      <c r="Q403" s="22" t="e">
        <f t="shared" si="375"/>
        <v>#REF!</v>
      </c>
      <c r="R403" s="22" t="e">
        <f t="shared" si="375"/>
        <v>#REF!</v>
      </c>
      <c r="S403" s="22" t="e">
        <f t="shared" si="375"/>
        <v>#REF!</v>
      </c>
      <c r="U403" s="11" t="e">
        <f>#REF!</f>
        <v>#REF!</v>
      </c>
      <c r="W403" s="11" t="e">
        <f t="shared" si="325"/>
        <v>#REF!</v>
      </c>
      <c r="X403" s="11" t="e">
        <f t="shared" si="326"/>
        <v>#REF!</v>
      </c>
      <c r="Y403" s="11" t="e">
        <f t="shared" si="327"/>
        <v>#REF!</v>
      </c>
      <c r="Z403" s="11" t="e">
        <f t="shared" si="328"/>
        <v>#REF!</v>
      </c>
      <c r="AA403" s="11" t="e">
        <f t="shared" si="329"/>
        <v>#REF!</v>
      </c>
    </row>
    <row r="404" spans="1:27" s="3" customFormat="1" x14ac:dyDescent="0.2">
      <c r="A404" s="4"/>
      <c r="B404" s="9">
        <v>4</v>
      </c>
      <c r="C404" s="9" t="s">
        <v>36</v>
      </c>
      <c r="D404" s="10" t="s">
        <v>15</v>
      </c>
      <c r="E404" s="20" t="s">
        <v>18</v>
      </c>
      <c r="F404" s="10" t="str">
        <f t="shared" si="305"/>
        <v>4QPECONOMY</v>
      </c>
      <c r="G404" s="11">
        <v>18.357749999999999</v>
      </c>
      <c r="H404" s="11">
        <v>18.357749999999999</v>
      </c>
      <c r="I404" s="11">
        <v>18.357749999999999</v>
      </c>
      <c r="J404" s="11">
        <v>18.357749999999999</v>
      </c>
      <c r="K404" s="11">
        <v>18.357749999999999</v>
      </c>
      <c r="M404" s="11">
        <f t="shared" si="330"/>
        <v>10.31</v>
      </c>
      <c r="O404" s="11" t="e">
        <f>#REF!</f>
        <v>#REF!</v>
      </c>
      <c r="P404" s="22" t="e">
        <f t="shared" ref="P404:S404" si="376">O404</f>
        <v>#REF!</v>
      </c>
      <c r="Q404" s="22" t="e">
        <f t="shared" si="376"/>
        <v>#REF!</v>
      </c>
      <c r="R404" s="22" t="e">
        <f t="shared" si="376"/>
        <v>#REF!</v>
      </c>
      <c r="S404" s="22" t="e">
        <f t="shared" si="376"/>
        <v>#REF!</v>
      </c>
      <c r="U404" s="11" t="e">
        <f>#REF!</f>
        <v>#REF!</v>
      </c>
      <c r="W404" s="11" t="e">
        <f t="shared" si="325"/>
        <v>#REF!</v>
      </c>
      <c r="X404" s="11" t="e">
        <f t="shared" si="326"/>
        <v>#REF!</v>
      </c>
      <c r="Y404" s="11" t="e">
        <f t="shared" si="327"/>
        <v>#REF!</v>
      </c>
      <c r="Z404" s="11" t="e">
        <f t="shared" si="328"/>
        <v>#REF!</v>
      </c>
      <c r="AA404" s="11" t="e">
        <f t="shared" si="329"/>
        <v>#REF!</v>
      </c>
    </row>
    <row r="405" spans="1:27" s="3" customFormat="1" x14ac:dyDescent="0.2">
      <c r="A405" s="4"/>
      <c r="B405" s="9">
        <v>5</v>
      </c>
      <c r="C405" s="9" t="s">
        <v>36</v>
      </c>
      <c r="D405" s="10" t="s">
        <v>15</v>
      </c>
      <c r="E405" s="20" t="s">
        <v>18</v>
      </c>
      <c r="F405" s="10" t="str">
        <f t="shared" si="305"/>
        <v>5QPECONOMY</v>
      </c>
      <c r="G405" s="11">
        <v>19.874749999999999</v>
      </c>
      <c r="H405" s="11">
        <v>19.874749999999999</v>
      </c>
      <c r="I405" s="11">
        <v>19.874749999999999</v>
      </c>
      <c r="J405" s="11">
        <v>19.874749999999999</v>
      </c>
      <c r="K405" s="11">
        <v>19.874749999999999</v>
      </c>
      <c r="M405" s="11">
        <f t="shared" si="330"/>
        <v>10.31</v>
      </c>
      <c r="O405" s="11" t="e">
        <f>#REF!</f>
        <v>#REF!</v>
      </c>
      <c r="P405" s="22" t="e">
        <f t="shared" ref="P405:S405" si="377">O405</f>
        <v>#REF!</v>
      </c>
      <c r="Q405" s="22" t="e">
        <f t="shared" si="377"/>
        <v>#REF!</v>
      </c>
      <c r="R405" s="22" t="e">
        <f t="shared" si="377"/>
        <v>#REF!</v>
      </c>
      <c r="S405" s="22" t="e">
        <f t="shared" si="377"/>
        <v>#REF!</v>
      </c>
      <c r="U405" s="11" t="e">
        <f>#REF!</f>
        <v>#REF!</v>
      </c>
      <c r="W405" s="11" t="e">
        <f t="shared" si="325"/>
        <v>#REF!</v>
      </c>
      <c r="X405" s="11" t="e">
        <f t="shared" si="326"/>
        <v>#REF!</v>
      </c>
      <c r="Y405" s="11" t="e">
        <f t="shared" si="327"/>
        <v>#REF!</v>
      </c>
      <c r="Z405" s="11" t="e">
        <f t="shared" si="328"/>
        <v>#REF!</v>
      </c>
      <c r="AA405" s="11" t="e">
        <f t="shared" si="329"/>
        <v>#REF!</v>
      </c>
    </row>
    <row r="406" spans="1:27" s="3" customFormat="1" x14ac:dyDescent="0.2">
      <c r="A406" s="4"/>
      <c r="B406" s="9">
        <v>6</v>
      </c>
      <c r="C406" s="9" t="s">
        <v>36</v>
      </c>
      <c r="D406" s="10" t="s">
        <v>15</v>
      </c>
      <c r="E406" s="20" t="s">
        <v>18</v>
      </c>
      <c r="F406" s="10" t="str">
        <f t="shared" si="305"/>
        <v>6QPECONOMY</v>
      </c>
      <c r="G406" s="11">
        <v>21.637749999999997</v>
      </c>
      <c r="H406" s="11">
        <v>21.637749999999997</v>
      </c>
      <c r="I406" s="11">
        <v>21.637749999999997</v>
      </c>
      <c r="J406" s="11">
        <v>21.637749999999997</v>
      </c>
      <c r="K406" s="11">
        <v>21.637749999999997</v>
      </c>
      <c r="M406" s="11">
        <f t="shared" si="330"/>
        <v>10.31</v>
      </c>
      <c r="O406" s="11" t="e">
        <f>#REF!</f>
        <v>#REF!</v>
      </c>
      <c r="P406" s="22" t="e">
        <f t="shared" ref="P406:S406" si="378">O406</f>
        <v>#REF!</v>
      </c>
      <c r="Q406" s="22" t="e">
        <f t="shared" si="378"/>
        <v>#REF!</v>
      </c>
      <c r="R406" s="22" t="e">
        <f t="shared" si="378"/>
        <v>#REF!</v>
      </c>
      <c r="S406" s="22" t="e">
        <f t="shared" si="378"/>
        <v>#REF!</v>
      </c>
      <c r="U406" s="11" t="e">
        <f>#REF!</f>
        <v>#REF!</v>
      </c>
      <c r="W406" s="11" t="e">
        <f t="shared" si="325"/>
        <v>#REF!</v>
      </c>
      <c r="X406" s="11" t="e">
        <f t="shared" si="326"/>
        <v>#REF!</v>
      </c>
      <c r="Y406" s="11" t="e">
        <f t="shared" si="327"/>
        <v>#REF!</v>
      </c>
      <c r="Z406" s="11" t="e">
        <f t="shared" si="328"/>
        <v>#REF!</v>
      </c>
      <c r="AA406" s="11" t="e">
        <f t="shared" si="329"/>
        <v>#REF!</v>
      </c>
    </row>
    <row r="407" spans="1:27" s="3" customFormat="1" x14ac:dyDescent="0.2">
      <c r="A407" s="4"/>
      <c r="B407" s="9">
        <v>7</v>
      </c>
      <c r="C407" s="9" t="s">
        <v>36</v>
      </c>
      <c r="D407" s="10" t="s">
        <v>15</v>
      </c>
      <c r="E407" s="20" t="s">
        <v>18</v>
      </c>
      <c r="F407" s="10" t="str">
        <f t="shared" si="305"/>
        <v>7QPECONOMY</v>
      </c>
      <c r="G407" s="11">
        <v>22.385999999999999</v>
      </c>
      <c r="H407" s="11">
        <v>22.385999999999999</v>
      </c>
      <c r="I407" s="11">
        <v>22.385999999999999</v>
      </c>
      <c r="J407" s="11">
        <v>22.385999999999999</v>
      </c>
      <c r="K407" s="11">
        <v>22.385999999999999</v>
      </c>
      <c r="M407" s="11">
        <f t="shared" si="330"/>
        <v>10.31</v>
      </c>
      <c r="O407" s="11" t="e">
        <f>#REF!</f>
        <v>#REF!</v>
      </c>
      <c r="P407" s="22" t="e">
        <f t="shared" ref="P407:S407" si="379">O407</f>
        <v>#REF!</v>
      </c>
      <c r="Q407" s="22" t="e">
        <f t="shared" si="379"/>
        <v>#REF!</v>
      </c>
      <c r="R407" s="22" t="e">
        <f t="shared" si="379"/>
        <v>#REF!</v>
      </c>
      <c r="S407" s="22" t="e">
        <f t="shared" si="379"/>
        <v>#REF!</v>
      </c>
      <c r="U407" s="11" t="e">
        <f>#REF!</f>
        <v>#REF!</v>
      </c>
      <c r="W407" s="11" t="e">
        <f t="shared" si="325"/>
        <v>#REF!</v>
      </c>
      <c r="X407" s="11" t="e">
        <f t="shared" si="326"/>
        <v>#REF!</v>
      </c>
      <c r="Y407" s="11" t="e">
        <f t="shared" si="327"/>
        <v>#REF!</v>
      </c>
      <c r="Z407" s="11" t="e">
        <f t="shared" si="328"/>
        <v>#REF!</v>
      </c>
      <c r="AA407" s="11" t="e">
        <f t="shared" si="329"/>
        <v>#REF!</v>
      </c>
    </row>
    <row r="408" spans="1:27" s="3" customFormat="1" x14ac:dyDescent="0.2">
      <c r="A408" s="4"/>
      <c r="B408" s="9">
        <v>8</v>
      </c>
      <c r="C408" s="9" t="s">
        <v>36</v>
      </c>
      <c r="D408" s="10" t="s">
        <v>15</v>
      </c>
      <c r="E408" s="20" t="s">
        <v>18</v>
      </c>
      <c r="F408" s="10" t="str">
        <f t="shared" si="305"/>
        <v>8QPECONOMY</v>
      </c>
      <c r="G408" s="11">
        <v>32.379749999999994</v>
      </c>
      <c r="H408" s="11">
        <v>32.379749999999994</v>
      </c>
      <c r="I408" s="11">
        <v>32.379749999999994</v>
      </c>
      <c r="J408" s="11">
        <v>32.379749999999994</v>
      </c>
      <c r="K408" s="11">
        <v>32.379749999999994</v>
      </c>
      <c r="M408" s="11">
        <f t="shared" si="330"/>
        <v>10.31</v>
      </c>
      <c r="O408" s="11" t="e">
        <f>#REF!</f>
        <v>#REF!</v>
      </c>
      <c r="P408" s="22" t="e">
        <f t="shared" ref="P408:S408" si="380">O408</f>
        <v>#REF!</v>
      </c>
      <c r="Q408" s="22" t="e">
        <f t="shared" si="380"/>
        <v>#REF!</v>
      </c>
      <c r="R408" s="22" t="e">
        <f t="shared" si="380"/>
        <v>#REF!</v>
      </c>
      <c r="S408" s="22" t="e">
        <f t="shared" si="380"/>
        <v>#REF!</v>
      </c>
      <c r="U408" s="11" t="e">
        <f>#REF!</f>
        <v>#REF!</v>
      </c>
      <c r="W408" s="11" t="e">
        <f t="shared" ref="W408:W475" si="381">G408+$M408+O408+$U408</f>
        <v>#REF!</v>
      </c>
      <c r="X408" s="11" t="e">
        <f t="shared" ref="X408:X475" si="382">H408+$M408+P408+$U408</f>
        <v>#REF!</v>
      </c>
      <c r="Y408" s="11" t="e">
        <f t="shared" ref="Y408:Y475" si="383">I408+$M408+Q408+$U408</f>
        <v>#REF!</v>
      </c>
      <c r="Z408" s="11" t="e">
        <f t="shared" ref="Z408:Z475" si="384">J408+$M408+R408+$U408</f>
        <v>#REF!</v>
      </c>
      <c r="AA408" s="11" t="e">
        <f t="shared" ref="AA408:AA475" si="385">K408+$M408+S408+$U408</f>
        <v>#REF!</v>
      </c>
    </row>
    <row r="409" spans="1:27" s="3" customFormat="1" x14ac:dyDescent="0.2">
      <c r="A409" s="4"/>
      <c r="B409" s="9">
        <v>9</v>
      </c>
      <c r="C409" s="9" t="s">
        <v>36</v>
      </c>
      <c r="D409" s="10" t="s">
        <v>15</v>
      </c>
      <c r="E409" s="20" t="s">
        <v>18</v>
      </c>
      <c r="F409" s="10" t="str">
        <f t="shared" si="305"/>
        <v>9QPECONOMY</v>
      </c>
      <c r="G409" s="11">
        <v>57.809999999999995</v>
      </c>
      <c r="H409" s="11">
        <v>57.809999999999995</v>
      </c>
      <c r="I409" s="11">
        <v>57.809999999999995</v>
      </c>
      <c r="J409" s="11">
        <v>57.809999999999995</v>
      </c>
      <c r="K409" s="11">
        <v>57.809999999999995</v>
      </c>
      <c r="M409" s="11">
        <f t="shared" si="330"/>
        <v>10.31</v>
      </c>
      <c r="O409" s="11" t="e">
        <f>#REF!</f>
        <v>#REF!</v>
      </c>
      <c r="P409" s="22" t="e">
        <f t="shared" ref="P409:S409" si="386">O409</f>
        <v>#REF!</v>
      </c>
      <c r="Q409" s="22" t="e">
        <f t="shared" si="386"/>
        <v>#REF!</v>
      </c>
      <c r="R409" s="22" t="e">
        <f t="shared" si="386"/>
        <v>#REF!</v>
      </c>
      <c r="S409" s="22" t="e">
        <f t="shared" si="386"/>
        <v>#REF!</v>
      </c>
      <c r="U409" s="11" t="e">
        <f>#REF!</f>
        <v>#REF!</v>
      </c>
      <c r="W409" s="11" t="e">
        <f t="shared" si="381"/>
        <v>#REF!</v>
      </c>
      <c r="X409" s="11" t="e">
        <f t="shared" si="382"/>
        <v>#REF!</v>
      </c>
      <c r="Y409" s="11" t="e">
        <f t="shared" si="383"/>
        <v>#REF!</v>
      </c>
      <c r="Z409" s="11" t="e">
        <f t="shared" si="384"/>
        <v>#REF!</v>
      </c>
      <c r="AA409" s="11" t="e">
        <f t="shared" si="385"/>
        <v>#REF!</v>
      </c>
    </row>
    <row r="410" spans="1:27" s="3" customFormat="1" x14ac:dyDescent="0.2">
      <c r="A410" s="4"/>
      <c r="B410" s="9">
        <v>10</v>
      </c>
      <c r="C410" s="9" t="s">
        <v>36</v>
      </c>
      <c r="D410" s="10" t="s">
        <v>15</v>
      </c>
      <c r="E410" s="20" t="s">
        <v>18</v>
      </c>
      <c r="F410" s="10" t="str">
        <f t="shared" si="305"/>
        <v>10QPECONOMY</v>
      </c>
      <c r="G410" s="11">
        <v>60.536499999999997</v>
      </c>
      <c r="H410" s="11">
        <v>60.536499999999997</v>
      </c>
      <c r="I410" s="11">
        <v>60.536499999999997</v>
      </c>
      <c r="J410" s="11">
        <v>60.536499999999997</v>
      </c>
      <c r="K410" s="11">
        <v>60.536499999999997</v>
      </c>
      <c r="M410" s="11">
        <f t="shared" si="330"/>
        <v>10.31</v>
      </c>
      <c r="O410" s="11" t="e">
        <f>#REF!</f>
        <v>#REF!</v>
      </c>
      <c r="P410" s="22" t="e">
        <f t="shared" ref="P410:S410" si="387">O410</f>
        <v>#REF!</v>
      </c>
      <c r="Q410" s="22" t="e">
        <f t="shared" si="387"/>
        <v>#REF!</v>
      </c>
      <c r="R410" s="22" t="e">
        <f t="shared" si="387"/>
        <v>#REF!</v>
      </c>
      <c r="S410" s="22" t="e">
        <f t="shared" si="387"/>
        <v>#REF!</v>
      </c>
      <c r="U410" s="11" t="e">
        <f>#REF!</f>
        <v>#REF!</v>
      </c>
      <c r="W410" s="11" t="e">
        <f t="shared" si="381"/>
        <v>#REF!</v>
      </c>
      <c r="X410" s="11" t="e">
        <f t="shared" si="382"/>
        <v>#REF!</v>
      </c>
      <c r="Y410" s="11" t="e">
        <f t="shared" si="383"/>
        <v>#REF!</v>
      </c>
      <c r="Z410" s="11" t="e">
        <f t="shared" si="384"/>
        <v>#REF!</v>
      </c>
      <c r="AA410" s="11" t="e">
        <f t="shared" si="385"/>
        <v>#REF!</v>
      </c>
    </row>
    <row r="411" spans="1:27" s="3" customFormat="1" x14ac:dyDescent="0.2">
      <c r="A411" s="4"/>
      <c r="B411" s="9">
        <v>11</v>
      </c>
      <c r="C411" s="9" t="s">
        <v>36</v>
      </c>
      <c r="D411" s="10" t="s">
        <v>15</v>
      </c>
      <c r="E411" s="20" t="s">
        <v>18</v>
      </c>
      <c r="F411" s="10" t="str">
        <f t="shared" si="305"/>
        <v>11QPECONOMY</v>
      </c>
      <c r="G411" s="11">
        <v>64.882499999999993</v>
      </c>
      <c r="H411" s="11">
        <v>64.882499999999993</v>
      </c>
      <c r="I411" s="11">
        <v>64.882499999999993</v>
      </c>
      <c r="J411" s="11">
        <v>64.882499999999993</v>
      </c>
      <c r="K411" s="11">
        <v>64.882499999999993</v>
      </c>
      <c r="M411" s="11">
        <f t="shared" si="330"/>
        <v>10.31</v>
      </c>
      <c r="O411" s="11" t="e">
        <f>#REF!</f>
        <v>#REF!</v>
      </c>
      <c r="P411" s="22" t="e">
        <f t="shared" ref="P411:S411" si="388">O411</f>
        <v>#REF!</v>
      </c>
      <c r="Q411" s="22" t="e">
        <f t="shared" si="388"/>
        <v>#REF!</v>
      </c>
      <c r="R411" s="22" t="e">
        <f t="shared" si="388"/>
        <v>#REF!</v>
      </c>
      <c r="S411" s="22" t="e">
        <f t="shared" si="388"/>
        <v>#REF!</v>
      </c>
      <c r="U411" s="11" t="e">
        <f>#REF!</f>
        <v>#REF!</v>
      </c>
      <c r="W411" s="11" t="e">
        <f t="shared" si="381"/>
        <v>#REF!</v>
      </c>
      <c r="X411" s="11" t="e">
        <f t="shared" si="382"/>
        <v>#REF!</v>
      </c>
      <c r="Y411" s="11" t="e">
        <f t="shared" si="383"/>
        <v>#REF!</v>
      </c>
      <c r="Z411" s="11" t="e">
        <f t="shared" si="384"/>
        <v>#REF!</v>
      </c>
      <c r="AA411" s="11" t="e">
        <f t="shared" si="385"/>
        <v>#REF!</v>
      </c>
    </row>
    <row r="412" spans="1:27" s="3" customFormat="1" x14ac:dyDescent="0.2">
      <c r="A412" s="4"/>
      <c r="B412" s="9">
        <v>12</v>
      </c>
      <c r="C412" s="9" t="s">
        <v>36</v>
      </c>
      <c r="D412" s="10" t="s">
        <v>15</v>
      </c>
      <c r="E412" s="20" t="s">
        <v>18</v>
      </c>
      <c r="F412" s="10" t="str">
        <f t="shared" si="305"/>
        <v>12QPECONOMY</v>
      </c>
      <c r="G412" s="11">
        <v>110.56675</v>
      </c>
      <c r="H412" s="11">
        <v>110.56675</v>
      </c>
      <c r="I412" s="11">
        <v>110.56675</v>
      </c>
      <c r="J412" s="11">
        <v>110.56675</v>
      </c>
      <c r="K412" s="11">
        <v>110.56675</v>
      </c>
      <c r="M412" s="11">
        <f t="shared" si="330"/>
        <v>10.31</v>
      </c>
      <c r="O412" s="11" t="e">
        <f>#REF!</f>
        <v>#REF!</v>
      </c>
      <c r="P412" s="22" t="e">
        <f t="shared" ref="P412:S412" si="389">O412</f>
        <v>#REF!</v>
      </c>
      <c r="Q412" s="22" t="e">
        <f t="shared" si="389"/>
        <v>#REF!</v>
      </c>
      <c r="R412" s="22" t="e">
        <f t="shared" si="389"/>
        <v>#REF!</v>
      </c>
      <c r="S412" s="22" t="e">
        <f t="shared" si="389"/>
        <v>#REF!</v>
      </c>
      <c r="U412" s="11" t="e">
        <f>#REF!</f>
        <v>#REF!</v>
      </c>
      <c r="W412" s="11" t="e">
        <f t="shared" si="381"/>
        <v>#REF!</v>
      </c>
      <c r="X412" s="11" t="e">
        <f t="shared" si="382"/>
        <v>#REF!</v>
      </c>
      <c r="Y412" s="11" t="e">
        <f t="shared" si="383"/>
        <v>#REF!</v>
      </c>
      <c r="Z412" s="11" t="e">
        <f t="shared" si="384"/>
        <v>#REF!</v>
      </c>
      <c r="AA412" s="11" t="e">
        <f t="shared" si="385"/>
        <v>#REF!</v>
      </c>
    </row>
    <row r="413" spans="1:27" s="3" customFormat="1" x14ac:dyDescent="0.2">
      <c r="A413" s="4"/>
      <c r="B413" s="9">
        <v>13</v>
      </c>
      <c r="C413" s="9" t="s">
        <v>36</v>
      </c>
      <c r="D413" s="10" t="s">
        <v>15</v>
      </c>
      <c r="E413" s="20" t="s">
        <v>18</v>
      </c>
      <c r="F413" s="10" t="str">
        <f t="shared" ref="F413:F415" si="390">B413&amp;D413&amp;E413</f>
        <v>13QPECONOMY</v>
      </c>
      <c r="G413" s="11">
        <v>143.5</v>
      </c>
      <c r="H413" s="11">
        <v>143.5</v>
      </c>
      <c r="I413" s="11">
        <v>143.5</v>
      </c>
      <c r="J413" s="11">
        <v>143.5</v>
      </c>
      <c r="K413" s="11">
        <v>143.5</v>
      </c>
      <c r="M413" s="11">
        <f t="shared" si="330"/>
        <v>10.31</v>
      </c>
      <c r="O413" s="11" t="e">
        <f>#REF!</f>
        <v>#REF!</v>
      </c>
      <c r="P413" s="22" t="e">
        <f t="shared" ref="P413:P414" si="391">O413</f>
        <v>#REF!</v>
      </c>
      <c r="Q413" s="22" t="e">
        <f t="shared" ref="Q413:Q414" si="392">P413</f>
        <v>#REF!</v>
      </c>
      <c r="R413" s="22" t="e">
        <f t="shared" ref="R413:R414" si="393">Q413</f>
        <v>#REF!</v>
      </c>
      <c r="S413" s="22" t="e">
        <f t="shared" ref="S413:S414" si="394">R413</f>
        <v>#REF!</v>
      </c>
      <c r="U413" s="11" t="e">
        <f>#REF!</f>
        <v>#REF!</v>
      </c>
      <c r="W413" s="11" t="e">
        <f t="shared" ref="W413:W414" si="395">G413+$M413+O413+$U413</f>
        <v>#REF!</v>
      </c>
      <c r="X413" s="11" t="e">
        <f t="shared" ref="X413:X414" si="396">H413+$M413+P413+$U413</f>
        <v>#REF!</v>
      </c>
      <c r="Y413" s="11" t="e">
        <f t="shared" ref="Y413:Y414" si="397">I413+$M413+Q413+$U413</f>
        <v>#REF!</v>
      </c>
      <c r="Z413" s="11" t="e">
        <f t="shared" ref="Z413:Z414" si="398">J413+$M413+R413+$U413</f>
        <v>#REF!</v>
      </c>
      <c r="AA413" s="11" t="e">
        <f t="shared" ref="AA413:AA414" si="399">K413+$M413+S413+$U413</f>
        <v>#REF!</v>
      </c>
    </row>
    <row r="414" spans="1:27" s="3" customFormat="1" x14ac:dyDescent="0.2">
      <c r="A414" s="4"/>
      <c r="B414" s="9">
        <v>14</v>
      </c>
      <c r="C414" s="9" t="s">
        <v>36</v>
      </c>
      <c r="D414" s="10" t="s">
        <v>15</v>
      </c>
      <c r="E414" s="20" t="s">
        <v>18</v>
      </c>
      <c r="F414" s="10" t="str">
        <f t="shared" si="390"/>
        <v>14QPECONOMY</v>
      </c>
      <c r="G414" s="11">
        <v>158.875</v>
      </c>
      <c r="H414" s="11">
        <v>158.875</v>
      </c>
      <c r="I414" s="11">
        <v>158.875</v>
      </c>
      <c r="J414" s="11">
        <v>158.875</v>
      </c>
      <c r="K414" s="11">
        <v>158.875</v>
      </c>
      <c r="M414" s="11">
        <f t="shared" si="330"/>
        <v>10.31</v>
      </c>
      <c r="O414" s="11" t="e">
        <f>#REF!</f>
        <v>#REF!</v>
      </c>
      <c r="P414" s="22" t="e">
        <f t="shared" si="391"/>
        <v>#REF!</v>
      </c>
      <c r="Q414" s="22" t="e">
        <f t="shared" si="392"/>
        <v>#REF!</v>
      </c>
      <c r="R414" s="22" t="e">
        <f t="shared" si="393"/>
        <v>#REF!</v>
      </c>
      <c r="S414" s="22" t="e">
        <f t="shared" si="394"/>
        <v>#REF!</v>
      </c>
      <c r="U414" s="11" t="e">
        <f>#REF!</f>
        <v>#REF!</v>
      </c>
      <c r="W414" s="11" t="e">
        <f t="shared" si="395"/>
        <v>#REF!</v>
      </c>
      <c r="X414" s="11" t="e">
        <f t="shared" si="396"/>
        <v>#REF!</v>
      </c>
      <c r="Y414" s="11" t="e">
        <f t="shared" si="397"/>
        <v>#REF!</v>
      </c>
      <c r="Z414" s="11" t="e">
        <f t="shared" si="398"/>
        <v>#REF!</v>
      </c>
      <c r="AA414" s="11" t="e">
        <f t="shared" si="399"/>
        <v>#REF!</v>
      </c>
    </row>
    <row r="415" spans="1:27" s="3" customFormat="1" x14ac:dyDescent="0.2">
      <c r="A415" s="4"/>
      <c r="B415" s="9">
        <v>21</v>
      </c>
      <c r="C415" s="9" t="s">
        <v>37</v>
      </c>
      <c r="D415" s="10" t="s">
        <v>15</v>
      </c>
      <c r="E415" s="20" t="s">
        <v>18</v>
      </c>
      <c r="F415" s="10" t="str">
        <f t="shared" si="390"/>
        <v>21QPECONOMY</v>
      </c>
      <c r="G415" s="12">
        <v>9.0814999999999984</v>
      </c>
      <c r="H415" s="12">
        <v>9.0814999999999984</v>
      </c>
      <c r="I415" s="12">
        <v>9.0814999999999984</v>
      </c>
      <c r="J415" s="12">
        <v>9.0814999999999984</v>
      </c>
      <c r="K415" s="12">
        <v>9.0814999999999984</v>
      </c>
      <c r="M415" s="12">
        <f t="shared" si="330"/>
        <v>10.210000000000001</v>
      </c>
      <c r="O415" s="12" t="e">
        <f>#REF!</f>
        <v>#REF!</v>
      </c>
      <c r="P415" s="22" t="e">
        <f t="shared" ref="P415:S415" si="400">O415</f>
        <v>#REF!</v>
      </c>
      <c r="Q415" s="22" t="e">
        <f t="shared" si="400"/>
        <v>#REF!</v>
      </c>
      <c r="R415" s="22" t="e">
        <f t="shared" si="400"/>
        <v>#REF!</v>
      </c>
      <c r="S415" s="22" t="e">
        <f t="shared" si="400"/>
        <v>#REF!</v>
      </c>
      <c r="U415" s="12" t="e">
        <f>#REF!</f>
        <v>#REF!</v>
      </c>
      <c r="W415" s="12" t="e">
        <f t="shared" si="381"/>
        <v>#REF!</v>
      </c>
      <c r="X415" s="12" t="e">
        <f t="shared" si="382"/>
        <v>#REF!</v>
      </c>
      <c r="Y415" s="12" t="e">
        <f t="shared" si="383"/>
        <v>#REF!</v>
      </c>
      <c r="Z415" s="12" t="e">
        <f t="shared" si="384"/>
        <v>#REF!</v>
      </c>
      <c r="AA415" s="12" t="e">
        <f t="shared" si="385"/>
        <v>#REF!</v>
      </c>
    </row>
    <row r="416" spans="1:27" s="3" customFormat="1" x14ac:dyDescent="0.2">
      <c r="A416" s="4"/>
      <c r="B416" s="9">
        <v>22</v>
      </c>
      <c r="C416" s="9" t="s">
        <v>37</v>
      </c>
      <c r="D416" s="10" t="s">
        <v>15</v>
      </c>
      <c r="E416" s="20" t="s">
        <v>18</v>
      </c>
      <c r="F416" s="10" t="str">
        <f t="shared" si="305"/>
        <v>22QPECONOMY</v>
      </c>
      <c r="G416" s="12">
        <v>11.0085</v>
      </c>
      <c r="H416" s="12">
        <v>11.0085</v>
      </c>
      <c r="I416" s="12">
        <v>11.0085</v>
      </c>
      <c r="J416" s="12">
        <v>11.0085</v>
      </c>
      <c r="K416" s="12">
        <v>11.0085</v>
      </c>
      <c r="M416" s="12">
        <f t="shared" si="330"/>
        <v>10.210000000000001</v>
      </c>
      <c r="O416" s="12" t="e">
        <f>#REF!</f>
        <v>#REF!</v>
      </c>
      <c r="P416" s="22" t="e">
        <f t="shared" ref="P416:S416" si="401">O416</f>
        <v>#REF!</v>
      </c>
      <c r="Q416" s="22" t="e">
        <f t="shared" si="401"/>
        <v>#REF!</v>
      </c>
      <c r="R416" s="22" t="e">
        <f t="shared" si="401"/>
        <v>#REF!</v>
      </c>
      <c r="S416" s="22" t="e">
        <f t="shared" si="401"/>
        <v>#REF!</v>
      </c>
      <c r="U416" s="12" t="e">
        <f>#REF!</f>
        <v>#REF!</v>
      </c>
      <c r="W416" s="12" t="e">
        <f t="shared" si="381"/>
        <v>#REF!</v>
      </c>
      <c r="X416" s="12" t="e">
        <f t="shared" si="382"/>
        <v>#REF!</v>
      </c>
      <c r="Y416" s="12" t="e">
        <f t="shared" si="383"/>
        <v>#REF!</v>
      </c>
      <c r="Z416" s="12" t="e">
        <f t="shared" si="384"/>
        <v>#REF!</v>
      </c>
      <c r="AA416" s="12" t="e">
        <f t="shared" si="385"/>
        <v>#REF!</v>
      </c>
    </row>
    <row r="417" spans="1:27" s="3" customFormat="1" x14ac:dyDescent="0.2">
      <c r="A417" s="4"/>
      <c r="B417" s="9">
        <v>23</v>
      </c>
      <c r="C417" s="9" t="s">
        <v>37</v>
      </c>
      <c r="D417" s="10" t="s">
        <v>15</v>
      </c>
      <c r="E417" s="20" t="s">
        <v>18</v>
      </c>
      <c r="F417" s="10" t="str">
        <f t="shared" si="305"/>
        <v>23QPECONOMY</v>
      </c>
      <c r="G417" s="12">
        <v>11.479999999999999</v>
      </c>
      <c r="H417" s="12">
        <v>11.479999999999999</v>
      </c>
      <c r="I417" s="12">
        <v>11.479999999999999</v>
      </c>
      <c r="J417" s="12">
        <v>11.479999999999999</v>
      </c>
      <c r="K417" s="12">
        <v>11.479999999999999</v>
      </c>
      <c r="M417" s="12">
        <f t="shared" si="330"/>
        <v>10.210000000000001</v>
      </c>
      <c r="O417" s="12" t="e">
        <f>#REF!</f>
        <v>#REF!</v>
      </c>
      <c r="P417" s="22" t="e">
        <f t="shared" ref="P417:S417" si="402">O417</f>
        <v>#REF!</v>
      </c>
      <c r="Q417" s="22" t="e">
        <f t="shared" si="402"/>
        <v>#REF!</v>
      </c>
      <c r="R417" s="22" t="e">
        <f t="shared" si="402"/>
        <v>#REF!</v>
      </c>
      <c r="S417" s="22" t="e">
        <f t="shared" si="402"/>
        <v>#REF!</v>
      </c>
      <c r="U417" s="12" t="e">
        <f>#REF!</f>
        <v>#REF!</v>
      </c>
      <c r="W417" s="12" t="e">
        <f t="shared" si="381"/>
        <v>#REF!</v>
      </c>
      <c r="X417" s="12" t="e">
        <f t="shared" si="382"/>
        <v>#REF!</v>
      </c>
      <c r="Y417" s="12" t="e">
        <f t="shared" si="383"/>
        <v>#REF!</v>
      </c>
      <c r="Z417" s="12" t="e">
        <f t="shared" si="384"/>
        <v>#REF!</v>
      </c>
      <c r="AA417" s="12" t="e">
        <f t="shared" si="385"/>
        <v>#REF!</v>
      </c>
    </row>
    <row r="418" spans="1:27" x14ac:dyDescent="0.2">
      <c r="B418" s="9">
        <v>24</v>
      </c>
      <c r="C418" s="9" t="s">
        <v>37</v>
      </c>
      <c r="D418" s="10" t="s">
        <v>15</v>
      </c>
      <c r="E418" s="20" t="s">
        <v>18</v>
      </c>
      <c r="F418" s="10" t="str">
        <f t="shared" si="305"/>
        <v>24QPECONOMY</v>
      </c>
      <c r="G418" s="12">
        <v>12.648499999999999</v>
      </c>
      <c r="H418" s="12">
        <v>12.648499999999999</v>
      </c>
      <c r="I418" s="12">
        <v>12.648499999999999</v>
      </c>
      <c r="J418" s="12">
        <v>12.648499999999999</v>
      </c>
      <c r="K418" s="12">
        <v>12.648499999999999</v>
      </c>
      <c r="M418" s="12">
        <f t="shared" si="330"/>
        <v>10.210000000000001</v>
      </c>
      <c r="O418" s="12" t="e">
        <f>#REF!</f>
        <v>#REF!</v>
      </c>
      <c r="P418" s="22" t="e">
        <f t="shared" ref="P418:S418" si="403">O418</f>
        <v>#REF!</v>
      </c>
      <c r="Q418" s="22" t="e">
        <f t="shared" si="403"/>
        <v>#REF!</v>
      </c>
      <c r="R418" s="22" t="e">
        <f t="shared" si="403"/>
        <v>#REF!</v>
      </c>
      <c r="S418" s="22" t="e">
        <f t="shared" si="403"/>
        <v>#REF!</v>
      </c>
      <c r="U418" s="12" t="e">
        <f>#REF!</f>
        <v>#REF!</v>
      </c>
      <c r="W418" s="12" t="e">
        <f t="shared" si="381"/>
        <v>#REF!</v>
      </c>
      <c r="X418" s="12" t="e">
        <f t="shared" si="382"/>
        <v>#REF!</v>
      </c>
      <c r="Y418" s="12" t="e">
        <f t="shared" si="383"/>
        <v>#REF!</v>
      </c>
      <c r="Z418" s="12" t="e">
        <f t="shared" si="384"/>
        <v>#REF!</v>
      </c>
      <c r="AA418" s="12" t="e">
        <f t="shared" si="385"/>
        <v>#REF!</v>
      </c>
    </row>
    <row r="419" spans="1:27" x14ac:dyDescent="0.2">
      <c r="B419" s="9">
        <v>25</v>
      </c>
      <c r="C419" s="9" t="s">
        <v>37</v>
      </c>
      <c r="D419" s="10" t="s">
        <v>15</v>
      </c>
      <c r="E419" s="20" t="s">
        <v>18</v>
      </c>
      <c r="F419" s="10" t="str">
        <f t="shared" si="305"/>
        <v>25QPECONOMY</v>
      </c>
      <c r="G419" s="12">
        <v>13.673499999999999</v>
      </c>
      <c r="H419" s="12">
        <v>13.673499999999999</v>
      </c>
      <c r="I419" s="12">
        <v>13.673499999999999</v>
      </c>
      <c r="J419" s="12">
        <v>13.673499999999999</v>
      </c>
      <c r="K419" s="12">
        <v>13.673499999999999</v>
      </c>
      <c r="M419" s="12">
        <f t="shared" si="330"/>
        <v>10.210000000000001</v>
      </c>
      <c r="O419" s="12" t="e">
        <f>#REF!</f>
        <v>#REF!</v>
      </c>
      <c r="P419" s="22" t="e">
        <f t="shared" ref="P419:S419" si="404">O419</f>
        <v>#REF!</v>
      </c>
      <c r="Q419" s="22" t="e">
        <f t="shared" si="404"/>
        <v>#REF!</v>
      </c>
      <c r="R419" s="22" t="e">
        <f t="shared" si="404"/>
        <v>#REF!</v>
      </c>
      <c r="S419" s="22" t="e">
        <f t="shared" si="404"/>
        <v>#REF!</v>
      </c>
      <c r="U419" s="12" t="e">
        <f>#REF!</f>
        <v>#REF!</v>
      </c>
      <c r="W419" s="12" t="e">
        <f t="shared" si="381"/>
        <v>#REF!</v>
      </c>
      <c r="X419" s="12" t="e">
        <f t="shared" si="382"/>
        <v>#REF!</v>
      </c>
      <c r="Y419" s="12" t="e">
        <f t="shared" si="383"/>
        <v>#REF!</v>
      </c>
      <c r="Z419" s="12" t="e">
        <f t="shared" si="384"/>
        <v>#REF!</v>
      </c>
      <c r="AA419" s="12" t="e">
        <f t="shared" si="385"/>
        <v>#REF!</v>
      </c>
    </row>
    <row r="420" spans="1:27" x14ac:dyDescent="0.2">
      <c r="B420" s="9">
        <v>26</v>
      </c>
      <c r="C420" s="9" t="s">
        <v>37</v>
      </c>
      <c r="D420" s="10" t="s">
        <v>15</v>
      </c>
      <c r="E420" s="20" t="s">
        <v>18</v>
      </c>
      <c r="F420" s="10" t="str">
        <f t="shared" si="305"/>
        <v>26QPECONOMY</v>
      </c>
      <c r="G420" s="12">
        <v>15.395499999999998</v>
      </c>
      <c r="H420" s="12">
        <v>15.395499999999998</v>
      </c>
      <c r="I420" s="12">
        <v>15.395499999999998</v>
      </c>
      <c r="J420" s="12">
        <v>15.395499999999998</v>
      </c>
      <c r="K420" s="12">
        <v>15.395499999999998</v>
      </c>
      <c r="M420" s="12">
        <f t="shared" si="330"/>
        <v>10.210000000000001</v>
      </c>
      <c r="O420" s="12" t="e">
        <f>#REF!</f>
        <v>#REF!</v>
      </c>
      <c r="P420" s="22" t="e">
        <f t="shared" ref="P420:S420" si="405">O420</f>
        <v>#REF!</v>
      </c>
      <c r="Q420" s="22" t="e">
        <f t="shared" si="405"/>
        <v>#REF!</v>
      </c>
      <c r="R420" s="22" t="e">
        <f t="shared" si="405"/>
        <v>#REF!</v>
      </c>
      <c r="S420" s="22" t="e">
        <f t="shared" si="405"/>
        <v>#REF!</v>
      </c>
      <c r="U420" s="12" t="e">
        <f>#REF!</f>
        <v>#REF!</v>
      </c>
      <c r="W420" s="12" t="e">
        <f t="shared" si="381"/>
        <v>#REF!</v>
      </c>
      <c r="X420" s="12" t="e">
        <f t="shared" si="382"/>
        <v>#REF!</v>
      </c>
      <c r="Y420" s="12" t="e">
        <f t="shared" si="383"/>
        <v>#REF!</v>
      </c>
      <c r="Z420" s="12" t="e">
        <f t="shared" si="384"/>
        <v>#REF!</v>
      </c>
      <c r="AA420" s="12" t="e">
        <f t="shared" si="385"/>
        <v>#REF!</v>
      </c>
    </row>
    <row r="421" spans="1:27" x14ac:dyDescent="0.2">
      <c r="B421" s="9">
        <v>27</v>
      </c>
      <c r="C421" s="9" t="s">
        <v>37</v>
      </c>
      <c r="D421" s="10" t="s">
        <v>15</v>
      </c>
      <c r="E421" s="20" t="s">
        <v>18</v>
      </c>
      <c r="F421" s="10" t="str">
        <f t="shared" si="305"/>
        <v>27QPECONOMY</v>
      </c>
      <c r="G421" s="12">
        <v>56.508249999999997</v>
      </c>
      <c r="H421" s="12">
        <v>56.508249999999997</v>
      </c>
      <c r="I421" s="12">
        <v>56.508249999999997</v>
      </c>
      <c r="J421" s="12">
        <v>56.508249999999997</v>
      </c>
      <c r="K421" s="12">
        <v>56.508249999999997</v>
      </c>
      <c r="M421" s="12">
        <f t="shared" si="330"/>
        <v>10.210000000000001</v>
      </c>
      <c r="O421" s="12" t="e">
        <f>#REF!</f>
        <v>#REF!</v>
      </c>
      <c r="P421" s="22" t="e">
        <f t="shared" ref="P421:S421" si="406">O421</f>
        <v>#REF!</v>
      </c>
      <c r="Q421" s="22" t="e">
        <f t="shared" si="406"/>
        <v>#REF!</v>
      </c>
      <c r="R421" s="22" t="e">
        <f t="shared" si="406"/>
        <v>#REF!</v>
      </c>
      <c r="S421" s="22" t="e">
        <f t="shared" si="406"/>
        <v>#REF!</v>
      </c>
      <c r="U421" s="12" t="e">
        <f>#REF!</f>
        <v>#REF!</v>
      </c>
      <c r="W421" s="12" t="e">
        <f t="shared" si="381"/>
        <v>#REF!</v>
      </c>
      <c r="X421" s="12" t="e">
        <f t="shared" si="382"/>
        <v>#REF!</v>
      </c>
      <c r="Y421" s="12" t="e">
        <f t="shared" si="383"/>
        <v>#REF!</v>
      </c>
      <c r="Z421" s="12" t="e">
        <f t="shared" si="384"/>
        <v>#REF!</v>
      </c>
      <c r="AA421" s="12" t="e">
        <f t="shared" si="385"/>
        <v>#REF!</v>
      </c>
    </row>
    <row r="422" spans="1:27" x14ac:dyDescent="0.2">
      <c r="B422" s="9">
        <v>28</v>
      </c>
      <c r="C422" s="9" t="s">
        <v>37</v>
      </c>
      <c r="D422" s="10" t="s">
        <v>15</v>
      </c>
      <c r="E422" s="20" t="s">
        <v>18</v>
      </c>
      <c r="F422" s="10" t="str">
        <f t="shared" si="305"/>
        <v>28QPECONOMY</v>
      </c>
      <c r="G422" s="12">
        <v>59.224499999999999</v>
      </c>
      <c r="H422" s="12">
        <v>59.224499999999999</v>
      </c>
      <c r="I422" s="12">
        <v>59.224499999999999</v>
      </c>
      <c r="J422" s="12">
        <v>59.224499999999999</v>
      </c>
      <c r="K422" s="12">
        <v>59.224499999999999</v>
      </c>
      <c r="M422" s="12">
        <f t="shared" si="330"/>
        <v>10.210000000000001</v>
      </c>
      <c r="O422" s="12" t="e">
        <f>#REF!</f>
        <v>#REF!</v>
      </c>
      <c r="P422" s="22" t="e">
        <f t="shared" ref="P422:S422" si="407">O422</f>
        <v>#REF!</v>
      </c>
      <c r="Q422" s="22" t="e">
        <f t="shared" si="407"/>
        <v>#REF!</v>
      </c>
      <c r="R422" s="22" t="e">
        <f t="shared" si="407"/>
        <v>#REF!</v>
      </c>
      <c r="S422" s="22" t="e">
        <f t="shared" si="407"/>
        <v>#REF!</v>
      </c>
      <c r="U422" s="12" t="e">
        <f>#REF!</f>
        <v>#REF!</v>
      </c>
      <c r="W422" s="12" t="e">
        <f t="shared" si="381"/>
        <v>#REF!</v>
      </c>
      <c r="X422" s="12" t="e">
        <f t="shared" si="382"/>
        <v>#REF!</v>
      </c>
      <c r="Y422" s="12" t="e">
        <f t="shared" si="383"/>
        <v>#REF!</v>
      </c>
      <c r="Z422" s="12" t="e">
        <f t="shared" si="384"/>
        <v>#REF!</v>
      </c>
      <c r="AA422" s="12" t="e">
        <f t="shared" si="385"/>
        <v>#REF!</v>
      </c>
    </row>
    <row r="423" spans="1:27" x14ac:dyDescent="0.2">
      <c r="B423" s="9">
        <v>31</v>
      </c>
      <c r="C423" s="9" t="s">
        <v>46</v>
      </c>
      <c r="D423" s="10" t="s">
        <v>15</v>
      </c>
      <c r="E423" s="20" t="s">
        <v>18</v>
      </c>
      <c r="F423" s="10" t="str">
        <f t="shared" si="305"/>
        <v>31QPECONOMY</v>
      </c>
      <c r="G423" s="13">
        <v>9.0814999999999984</v>
      </c>
      <c r="H423" s="13">
        <v>9.0814999999999984</v>
      </c>
      <c r="I423" s="13">
        <v>9.0814999999999984</v>
      </c>
      <c r="J423" s="13">
        <v>9.0814999999999984</v>
      </c>
      <c r="K423" s="13">
        <v>9.0814999999999984</v>
      </c>
      <c r="M423" s="13">
        <f t="shared" si="330"/>
        <v>10.210000000000001</v>
      </c>
      <c r="O423" s="13" t="e">
        <f>#REF!</f>
        <v>#REF!</v>
      </c>
      <c r="P423" s="22" t="e">
        <f t="shared" ref="P423:S423" si="408">O423</f>
        <v>#REF!</v>
      </c>
      <c r="Q423" s="22" t="e">
        <f t="shared" si="408"/>
        <v>#REF!</v>
      </c>
      <c r="R423" s="22" t="e">
        <f t="shared" si="408"/>
        <v>#REF!</v>
      </c>
      <c r="S423" s="22" t="e">
        <f t="shared" si="408"/>
        <v>#REF!</v>
      </c>
      <c r="U423" s="13" t="e">
        <f>#REF!</f>
        <v>#REF!</v>
      </c>
      <c r="W423" s="13" t="e">
        <f t="shared" si="381"/>
        <v>#REF!</v>
      </c>
      <c r="X423" s="13" t="e">
        <f t="shared" si="382"/>
        <v>#REF!</v>
      </c>
      <c r="Y423" s="13" t="e">
        <f t="shared" si="383"/>
        <v>#REF!</v>
      </c>
      <c r="Z423" s="13" t="e">
        <f t="shared" si="384"/>
        <v>#REF!</v>
      </c>
      <c r="AA423" s="13" t="e">
        <f t="shared" si="385"/>
        <v>#REF!</v>
      </c>
    </row>
    <row r="424" spans="1:27" x14ac:dyDescent="0.2">
      <c r="B424" s="9">
        <v>32</v>
      </c>
      <c r="C424" s="9" t="s">
        <v>46</v>
      </c>
      <c r="D424" s="10" t="s">
        <v>15</v>
      </c>
      <c r="E424" s="20" t="s">
        <v>18</v>
      </c>
      <c r="F424" s="10" t="str">
        <f t="shared" si="305"/>
        <v>32QPECONOMY</v>
      </c>
      <c r="G424" s="13">
        <v>10.66</v>
      </c>
      <c r="H424" s="13">
        <v>10.66</v>
      </c>
      <c r="I424" s="13">
        <v>10.66</v>
      </c>
      <c r="J424" s="13">
        <v>10.66</v>
      </c>
      <c r="K424" s="13">
        <v>10.66</v>
      </c>
      <c r="M424" s="13">
        <f t="shared" si="330"/>
        <v>10.210000000000001</v>
      </c>
      <c r="O424" s="13" t="e">
        <f>#REF!</f>
        <v>#REF!</v>
      </c>
      <c r="P424" s="22" t="e">
        <f t="shared" ref="P424:S424" si="409">O424</f>
        <v>#REF!</v>
      </c>
      <c r="Q424" s="22" t="e">
        <f t="shared" si="409"/>
        <v>#REF!</v>
      </c>
      <c r="R424" s="22" t="e">
        <f t="shared" si="409"/>
        <v>#REF!</v>
      </c>
      <c r="S424" s="22" t="e">
        <f t="shared" si="409"/>
        <v>#REF!</v>
      </c>
      <c r="U424" s="13" t="e">
        <f>#REF!</f>
        <v>#REF!</v>
      </c>
      <c r="W424" s="13" t="e">
        <f t="shared" si="381"/>
        <v>#REF!</v>
      </c>
      <c r="X424" s="13" t="e">
        <f t="shared" si="382"/>
        <v>#REF!</v>
      </c>
      <c r="Y424" s="13" t="e">
        <f t="shared" si="383"/>
        <v>#REF!</v>
      </c>
      <c r="Z424" s="13" t="e">
        <f t="shared" si="384"/>
        <v>#REF!</v>
      </c>
      <c r="AA424" s="13" t="e">
        <f t="shared" si="385"/>
        <v>#REF!</v>
      </c>
    </row>
    <row r="425" spans="1:27" x14ac:dyDescent="0.2">
      <c r="B425" s="9">
        <v>33</v>
      </c>
      <c r="C425" s="9" t="s">
        <v>46</v>
      </c>
      <c r="D425" s="10" t="s">
        <v>15</v>
      </c>
      <c r="E425" s="20" t="s">
        <v>18</v>
      </c>
      <c r="F425" s="10" t="str">
        <f t="shared" si="305"/>
        <v>33QPECONOMY</v>
      </c>
      <c r="G425" s="13">
        <v>11.643999999999998</v>
      </c>
      <c r="H425" s="13">
        <v>11.643999999999998</v>
      </c>
      <c r="I425" s="13">
        <v>11.643999999999998</v>
      </c>
      <c r="J425" s="13">
        <v>11.643999999999998</v>
      </c>
      <c r="K425" s="13">
        <v>11.643999999999998</v>
      </c>
      <c r="M425" s="13">
        <f t="shared" si="330"/>
        <v>10.210000000000001</v>
      </c>
      <c r="O425" s="13" t="e">
        <f>#REF!</f>
        <v>#REF!</v>
      </c>
      <c r="P425" s="22" t="e">
        <f t="shared" ref="P425:S425" si="410">O425</f>
        <v>#REF!</v>
      </c>
      <c r="Q425" s="22" t="e">
        <f t="shared" si="410"/>
        <v>#REF!</v>
      </c>
      <c r="R425" s="22" t="e">
        <f t="shared" si="410"/>
        <v>#REF!</v>
      </c>
      <c r="S425" s="22" t="e">
        <f t="shared" si="410"/>
        <v>#REF!</v>
      </c>
      <c r="U425" s="13" t="e">
        <f>#REF!</f>
        <v>#REF!</v>
      </c>
      <c r="W425" s="13" t="e">
        <f t="shared" si="381"/>
        <v>#REF!</v>
      </c>
      <c r="X425" s="13" t="e">
        <f t="shared" si="382"/>
        <v>#REF!</v>
      </c>
      <c r="Y425" s="13" t="e">
        <f t="shared" si="383"/>
        <v>#REF!</v>
      </c>
      <c r="Z425" s="13" t="e">
        <f t="shared" si="384"/>
        <v>#REF!</v>
      </c>
      <c r="AA425" s="13" t="e">
        <f t="shared" si="385"/>
        <v>#REF!</v>
      </c>
    </row>
    <row r="426" spans="1:27" x14ac:dyDescent="0.2">
      <c r="B426" s="9">
        <v>34</v>
      </c>
      <c r="C426" s="9" t="s">
        <v>46</v>
      </c>
      <c r="D426" s="10" t="s">
        <v>15</v>
      </c>
      <c r="E426" s="20" t="s">
        <v>18</v>
      </c>
      <c r="F426" s="10" t="str">
        <f t="shared" si="305"/>
        <v>34QPECONOMY</v>
      </c>
      <c r="G426" s="13">
        <v>13.314749999999998</v>
      </c>
      <c r="H426" s="13">
        <v>13.314749999999998</v>
      </c>
      <c r="I426" s="13">
        <v>13.314749999999998</v>
      </c>
      <c r="J426" s="13">
        <v>13.314749999999998</v>
      </c>
      <c r="K426" s="13">
        <v>13.314749999999998</v>
      </c>
      <c r="M426" s="13">
        <f t="shared" si="330"/>
        <v>10.210000000000001</v>
      </c>
      <c r="O426" s="13" t="e">
        <f>#REF!</f>
        <v>#REF!</v>
      </c>
      <c r="P426" s="22" t="e">
        <f t="shared" ref="P426:S426" si="411">O426</f>
        <v>#REF!</v>
      </c>
      <c r="Q426" s="22" t="e">
        <f t="shared" si="411"/>
        <v>#REF!</v>
      </c>
      <c r="R426" s="22" t="e">
        <f t="shared" si="411"/>
        <v>#REF!</v>
      </c>
      <c r="S426" s="22" t="e">
        <f t="shared" si="411"/>
        <v>#REF!</v>
      </c>
      <c r="U426" s="13" t="e">
        <f>#REF!</f>
        <v>#REF!</v>
      </c>
      <c r="W426" s="13" t="e">
        <f t="shared" si="381"/>
        <v>#REF!</v>
      </c>
      <c r="X426" s="13" t="e">
        <f t="shared" si="382"/>
        <v>#REF!</v>
      </c>
      <c r="Y426" s="13" t="e">
        <f t="shared" si="383"/>
        <v>#REF!</v>
      </c>
      <c r="Z426" s="13" t="e">
        <f t="shared" si="384"/>
        <v>#REF!</v>
      </c>
      <c r="AA426" s="13" t="e">
        <f t="shared" si="385"/>
        <v>#REF!</v>
      </c>
    </row>
    <row r="427" spans="1:27" x14ac:dyDescent="0.2">
      <c r="B427" s="9">
        <v>35</v>
      </c>
      <c r="C427" s="9" t="s">
        <v>46</v>
      </c>
      <c r="D427" s="10" t="s">
        <v>15</v>
      </c>
      <c r="E427" s="20" t="s">
        <v>18</v>
      </c>
      <c r="F427" s="10" t="str">
        <f t="shared" si="305"/>
        <v>35QPECONOMY</v>
      </c>
      <c r="G427" s="13">
        <v>14.718999999999998</v>
      </c>
      <c r="H427" s="13">
        <v>14.718999999999998</v>
      </c>
      <c r="I427" s="13">
        <v>14.718999999999998</v>
      </c>
      <c r="J427" s="13">
        <v>14.718999999999998</v>
      </c>
      <c r="K427" s="13">
        <v>14.718999999999998</v>
      </c>
      <c r="M427" s="13">
        <f t="shared" si="330"/>
        <v>10.210000000000001</v>
      </c>
      <c r="O427" s="13" t="e">
        <f>#REF!</f>
        <v>#REF!</v>
      </c>
      <c r="P427" s="22" t="e">
        <f t="shared" ref="P427:S427" si="412">O427</f>
        <v>#REF!</v>
      </c>
      <c r="Q427" s="22" t="e">
        <f t="shared" si="412"/>
        <v>#REF!</v>
      </c>
      <c r="R427" s="22" t="e">
        <f t="shared" si="412"/>
        <v>#REF!</v>
      </c>
      <c r="S427" s="22" t="e">
        <f t="shared" si="412"/>
        <v>#REF!</v>
      </c>
      <c r="U427" s="13" t="e">
        <f>#REF!</f>
        <v>#REF!</v>
      </c>
      <c r="W427" s="13" t="e">
        <f t="shared" si="381"/>
        <v>#REF!</v>
      </c>
      <c r="X427" s="13" t="e">
        <f t="shared" si="382"/>
        <v>#REF!</v>
      </c>
      <c r="Y427" s="13" t="e">
        <f t="shared" si="383"/>
        <v>#REF!</v>
      </c>
      <c r="Z427" s="13" t="e">
        <f t="shared" si="384"/>
        <v>#REF!</v>
      </c>
      <c r="AA427" s="13" t="e">
        <f t="shared" si="385"/>
        <v>#REF!</v>
      </c>
    </row>
    <row r="428" spans="1:27" x14ac:dyDescent="0.2">
      <c r="B428" s="9">
        <v>41</v>
      </c>
      <c r="C428" s="9" t="s">
        <v>38</v>
      </c>
      <c r="D428" s="10" t="s">
        <v>15</v>
      </c>
      <c r="E428" s="20" t="s">
        <v>18</v>
      </c>
      <c r="F428" s="10" t="str">
        <f t="shared" si="305"/>
        <v>41QPECONOMY</v>
      </c>
      <c r="G428" s="14">
        <v>11.15</v>
      </c>
      <c r="H428" s="14">
        <v>11.15</v>
      </c>
      <c r="I428" s="14">
        <v>11.15</v>
      </c>
      <c r="J428" s="14">
        <v>11.15</v>
      </c>
      <c r="K428" s="14">
        <v>11.15</v>
      </c>
      <c r="M428" s="14">
        <f t="shared" si="330"/>
        <v>9.26</v>
      </c>
      <c r="O428" s="14" t="e">
        <f>#REF!</f>
        <v>#REF!</v>
      </c>
      <c r="P428" s="22" t="e">
        <f t="shared" ref="P428:S428" si="413">O428</f>
        <v>#REF!</v>
      </c>
      <c r="Q428" s="22" t="e">
        <f t="shared" si="413"/>
        <v>#REF!</v>
      </c>
      <c r="R428" s="22" t="e">
        <f t="shared" si="413"/>
        <v>#REF!</v>
      </c>
      <c r="S428" s="22" t="e">
        <f t="shared" si="413"/>
        <v>#REF!</v>
      </c>
      <c r="U428" s="14" t="e">
        <f>#REF!</f>
        <v>#REF!</v>
      </c>
      <c r="W428" s="14" t="e">
        <f t="shared" si="381"/>
        <v>#REF!</v>
      </c>
      <c r="X428" s="14" t="e">
        <f t="shared" si="382"/>
        <v>#REF!</v>
      </c>
      <c r="Y428" s="14" t="e">
        <f t="shared" si="383"/>
        <v>#REF!</v>
      </c>
      <c r="Z428" s="14" t="e">
        <f t="shared" si="384"/>
        <v>#REF!</v>
      </c>
      <c r="AA428" s="14" t="e">
        <f t="shared" si="385"/>
        <v>#REF!</v>
      </c>
    </row>
    <row r="429" spans="1:27" x14ac:dyDescent="0.2">
      <c r="B429" s="9">
        <v>42</v>
      </c>
      <c r="C429" s="9" t="s">
        <v>38</v>
      </c>
      <c r="D429" s="10" t="s">
        <v>15</v>
      </c>
      <c r="E429" s="20" t="s">
        <v>18</v>
      </c>
      <c r="F429" s="10" t="str">
        <f t="shared" si="305"/>
        <v>42QPECONOMY</v>
      </c>
      <c r="G429" s="14">
        <v>12.65</v>
      </c>
      <c r="H429" s="14">
        <v>12.65</v>
      </c>
      <c r="I429" s="14">
        <v>12.65</v>
      </c>
      <c r="J429" s="14">
        <v>12.65</v>
      </c>
      <c r="K429" s="14">
        <v>12.65</v>
      </c>
      <c r="M429" s="14">
        <f t="shared" si="330"/>
        <v>9.26</v>
      </c>
      <c r="O429" s="14" t="e">
        <f>#REF!</f>
        <v>#REF!</v>
      </c>
      <c r="P429" s="22" t="e">
        <f t="shared" ref="P429:S429" si="414">O429</f>
        <v>#REF!</v>
      </c>
      <c r="Q429" s="22" t="e">
        <f t="shared" si="414"/>
        <v>#REF!</v>
      </c>
      <c r="R429" s="22" t="e">
        <f t="shared" si="414"/>
        <v>#REF!</v>
      </c>
      <c r="S429" s="22" t="e">
        <f t="shared" si="414"/>
        <v>#REF!</v>
      </c>
      <c r="U429" s="14" t="e">
        <f>#REF!</f>
        <v>#REF!</v>
      </c>
      <c r="W429" s="14" t="e">
        <f t="shared" si="381"/>
        <v>#REF!</v>
      </c>
      <c r="X429" s="14" t="e">
        <f t="shared" si="382"/>
        <v>#REF!</v>
      </c>
      <c r="Y429" s="14" t="e">
        <f t="shared" si="383"/>
        <v>#REF!</v>
      </c>
      <c r="Z429" s="14" t="e">
        <f t="shared" si="384"/>
        <v>#REF!</v>
      </c>
      <c r="AA429" s="14" t="e">
        <f t="shared" si="385"/>
        <v>#REF!</v>
      </c>
    </row>
    <row r="430" spans="1:27" x14ac:dyDescent="0.2">
      <c r="B430" s="9">
        <v>43</v>
      </c>
      <c r="C430" s="9" t="s">
        <v>38</v>
      </c>
      <c r="D430" s="10" t="s">
        <v>15</v>
      </c>
      <c r="E430" s="20" t="s">
        <v>18</v>
      </c>
      <c r="F430" s="10" t="str">
        <f t="shared" si="305"/>
        <v>43QPECONOMY</v>
      </c>
      <c r="G430" s="14">
        <v>14.65</v>
      </c>
      <c r="H430" s="14">
        <v>14.65</v>
      </c>
      <c r="I430" s="14">
        <v>14.65</v>
      </c>
      <c r="J430" s="14">
        <v>14.65</v>
      </c>
      <c r="K430" s="14">
        <v>14.65</v>
      </c>
      <c r="M430" s="14">
        <f t="shared" ref="M430:M493" si="415">VLOOKUP(C430,$AN$5:$AS$9,6,FALSE)</f>
        <v>9.26</v>
      </c>
      <c r="O430" s="14" t="e">
        <f>#REF!</f>
        <v>#REF!</v>
      </c>
      <c r="P430" s="22" t="e">
        <f t="shared" ref="P430:S430" si="416">O430</f>
        <v>#REF!</v>
      </c>
      <c r="Q430" s="22" t="e">
        <f t="shared" si="416"/>
        <v>#REF!</v>
      </c>
      <c r="R430" s="22" t="e">
        <f t="shared" si="416"/>
        <v>#REF!</v>
      </c>
      <c r="S430" s="22" t="e">
        <f t="shared" si="416"/>
        <v>#REF!</v>
      </c>
      <c r="U430" s="14" t="e">
        <f>#REF!</f>
        <v>#REF!</v>
      </c>
      <c r="W430" s="14" t="e">
        <f t="shared" si="381"/>
        <v>#REF!</v>
      </c>
      <c r="X430" s="14" t="e">
        <f t="shared" si="382"/>
        <v>#REF!</v>
      </c>
      <c r="Y430" s="14" t="e">
        <f t="shared" si="383"/>
        <v>#REF!</v>
      </c>
      <c r="Z430" s="14" t="e">
        <f t="shared" si="384"/>
        <v>#REF!</v>
      </c>
      <c r="AA430" s="14" t="e">
        <f t="shared" si="385"/>
        <v>#REF!</v>
      </c>
    </row>
    <row r="431" spans="1:27" x14ac:dyDescent="0.2">
      <c r="B431" s="9">
        <v>44</v>
      </c>
      <c r="C431" s="9" t="s">
        <v>38</v>
      </c>
      <c r="D431" s="10" t="s">
        <v>15</v>
      </c>
      <c r="E431" s="20" t="s">
        <v>18</v>
      </c>
      <c r="F431" s="10" t="str">
        <f t="shared" si="305"/>
        <v>44QPECONOMY</v>
      </c>
      <c r="G431" s="14">
        <v>39.49</v>
      </c>
      <c r="H431" s="14">
        <v>39.49</v>
      </c>
      <c r="I431" s="14">
        <v>39.49</v>
      </c>
      <c r="J431" s="14">
        <v>39.49</v>
      </c>
      <c r="K431" s="14">
        <v>39.49</v>
      </c>
      <c r="M431" s="14">
        <f t="shared" si="415"/>
        <v>9.26</v>
      </c>
      <c r="O431" s="14" t="e">
        <f>#REF!</f>
        <v>#REF!</v>
      </c>
      <c r="P431" s="22" t="e">
        <f t="shared" ref="P431:S431" si="417">O431</f>
        <v>#REF!</v>
      </c>
      <c r="Q431" s="22" t="e">
        <f t="shared" si="417"/>
        <v>#REF!</v>
      </c>
      <c r="R431" s="22" t="e">
        <f t="shared" si="417"/>
        <v>#REF!</v>
      </c>
      <c r="S431" s="22" t="e">
        <f t="shared" si="417"/>
        <v>#REF!</v>
      </c>
      <c r="U431" s="14" t="e">
        <f>#REF!</f>
        <v>#REF!</v>
      </c>
      <c r="W431" s="14" t="e">
        <f t="shared" si="381"/>
        <v>#REF!</v>
      </c>
      <c r="X431" s="14" t="e">
        <f t="shared" si="382"/>
        <v>#REF!</v>
      </c>
      <c r="Y431" s="14" t="e">
        <f t="shared" si="383"/>
        <v>#REF!</v>
      </c>
      <c r="Z431" s="14" t="e">
        <f t="shared" si="384"/>
        <v>#REF!</v>
      </c>
      <c r="AA431" s="14" t="e">
        <f t="shared" si="385"/>
        <v>#REF!</v>
      </c>
    </row>
    <row r="432" spans="1:27" x14ac:dyDescent="0.2">
      <c r="B432" s="9">
        <v>45</v>
      </c>
      <c r="C432" s="9" t="s">
        <v>38</v>
      </c>
      <c r="D432" s="10" t="s">
        <v>15</v>
      </c>
      <c r="E432" s="20" t="s">
        <v>18</v>
      </c>
      <c r="F432" s="10" t="str">
        <f t="shared" si="305"/>
        <v>45QPECONOMY</v>
      </c>
      <c r="G432" s="14">
        <v>42.04</v>
      </c>
      <c r="H432" s="14">
        <v>42.04</v>
      </c>
      <c r="I432" s="14">
        <v>42.04</v>
      </c>
      <c r="J432" s="14">
        <v>42.04</v>
      </c>
      <c r="K432" s="14">
        <v>42.04</v>
      </c>
      <c r="M432" s="14">
        <f t="shared" si="415"/>
        <v>9.26</v>
      </c>
      <c r="O432" s="14" t="e">
        <f>#REF!</f>
        <v>#REF!</v>
      </c>
      <c r="P432" s="22" t="e">
        <f t="shared" ref="P432:S432" si="418">O432</f>
        <v>#REF!</v>
      </c>
      <c r="Q432" s="22" t="e">
        <f t="shared" si="418"/>
        <v>#REF!</v>
      </c>
      <c r="R432" s="22" t="e">
        <f t="shared" si="418"/>
        <v>#REF!</v>
      </c>
      <c r="S432" s="22" t="e">
        <f t="shared" si="418"/>
        <v>#REF!</v>
      </c>
      <c r="U432" s="14" t="e">
        <f>#REF!</f>
        <v>#REF!</v>
      </c>
      <c r="W432" s="14" t="e">
        <f t="shared" si="381"/>
        <v>#REF!</v>
      </c>
      <c r="X432" s="14" t="e">
        <f t="shared" si="382"/>
        <v>#REF!</v>
      </c>
      <c r="Y432" s="14" t="e">
        <f t="shared" si="383"/>
        <v>#REF!</v>
      </c>
      <c r="Z432" s="14" t="e">
        <f t="shared" si="384"/>
        <v>#REF!</v>
      </c>
      <c r="AA432" s="14" t="e">
        <f t="shared" si="385"/>
        <v>#REF!</v>
      </c>
    </row>
    <row r="433" spans="2:27" x14ac:dyDescent="0.2">
      <c r="B433" s="9">
        <v>51</v>
      </c>
      <c r="C433" s="9" t="s">
        <v>39</v>
      </c>
      <c r="D433" s="10" t="s">
        <v>15</v>
      </c>
      <c r="E433" s="20" t="s">
        <v>18</v>
      </c>
      <c r="F433" s="10" t="str">
        <f t="shared" si="305"/>
        <v>51QPECONOMY</v>
      </c>
      <c r="G433" s="18">
        <v>11.15</v>
      </c>
      <c r="H433" s="18">
        <v>11.15</v>
      </c>
      <c r="I433" s="18">
        <v>11.15</v>
      </c>
      <c r="J433" s="18">
        <v>11.15</v>
      </c>
      <c r="K433" s="18">
        <v>11.15</v>
      </c>
      <c r="M433" s="18">
        <f t="shared" si="415"/>
        <v>9.26</v>
      </c>
      <c r="O433" s="18" t="e">
        <f>#REF!</f>
        <v>#REF!</v>
      </c>
      <c r="P433" s="22" t="e">
        <f t="shared" ref="P433:S433" si="419">O433</f>
        <v>#REF!</v>
      </c>
      <c r="Q433" s="22" t="e">
        <f t="shared" si="419"/>
        <v>#REF!</v>
      </c>
      <c r="R433" s="22" t="e">
        <f t="shared" si="419"/>
        <v>#REF!</v>
      </c>
      <c r="S433" s="22" t="e">
        <f t="shared" si="419"/>
        <v>#REF!</v>
      </c>
      <c r="U433" s="18" t="e">
        <f>#REF!</f>
        <v>#REF!</v>
      </c>
      <c r="W433" s="18" t="e">
        <f t="shared" si="381"/>
        <v>#REF!</v>
      </c>
      <c r="X433" s="18" t="e">
        <f t="shared" si="382"/>
        <v>#REF!</v>
      </c>
      <c r="Y433" s="18" t="e">
        <f t="shared" si="383"/>
        <v>#REF!</v>
      </c>
      <c r="Z433" s="18" t="e">
        <f t="shared" si="384"/>
        <v>#REF!</v>
      </c>
      <c r="AA433" s="18" t="e">
        <f t="shared" si="385"/>
        <v>#REF!</v>
      </c>
    </row>
    <row r="434" spans="2:27" x14ac:dyDescent="0.2">
      <c r="B434" s="9">
        <v>52</v>
      </c>
      <c r="C434" s="9" t="s">
        <v>39</v>
      </c>
      <c r="D434" s="10" t="s">
        <v>15</v>
      </c>
      <c r="E434" s="20" t="s">
        <v>18</v>
      </c>
      <c r="F434" s="10" t="str">
        <f t="shared" si="305"/>
        <v>52QPECONOMY</v>
      </c>
      <c r="G434" s="18">
        <v>12.65</v>
      </c>
      <c r="H434" s="18">
        <v>12.65</v>
      </c>
      <c r="I434" s="18">
        <v>12.65</v>
      </c>
      <c r="J434" s="18">
        <v>12.65</v>
      </c>
      <c r="K434" s="18">
        <v>12.65</v>
      </c>
      <c r="M434" s="18">
        <f t="shared" si="415"/>
        <v>9.26</v>
      </c>
      <c r="O434" s="18" t="e">
        <f>#REF!</f>
        <v>#REF!</v>
      </c>
      <c r="P434" s="22" t="e">
        <f t="shared" ref="P434:S434" si="420">O434</f>
        <v>#REF!</v>
      </c>
      <c r="Q434" s="22" t="e">
        <f t="shared" si="420"/>
        <v>#REF!</v>
      </c>
      <c r="R434" s="22" t="e">
        <f t="shared" si="420"/>
        <v>#REF!</v>
      </c>
      <c r="S434" s="22" t="e">
        <f t="shared" si="420"/>
        <v>#REF!</v>
      </c>
      <c r="U434" s="18" t="e">
        <f>#REF!</f>
        <v>#REF!</v>
      </c>
      <c r="W434" s="18" t="e">
        <f t="shared" si="381"/>
        <v>#REF!</v>
      </c>
      <c r="X434" s="18" t="e">
        <f t="shared" si="382"/>
        <v>#REF!</v>
      </c>
      <c r="Y434" s="18" t="e">
        <f t="shared" si="383"/>
        <v>#REF!</v>
      </c>
      <c r="Z434" s="18" t="e">
        <f t="shared" si="384"/>
        <v>#REF!</v>
      </c>
      <c r="AA434" s="18" t="e">
        <f t="shared" si="385"/>
        <v>#REF!</v>
      </c>
    </row>
    <row r="435" spans="2:27" x14ac:dyDescent="0.2">
      <c r="B435" s="9">
        <v>53</v>
      </c>
      <c r="C435" s="9" t="s">
        <v>39</v>
      </c>
      <c r="D435" s="10" t="s">
        <v>15</v>
      </c>
      <c r="E435" s="20" t="s">
        <v>18</v>
      </c>
      <c r="F435" s="10" t="str">
        <f t="shared" si="305"/>
        <v>53QPECONOMY</v>
      </c>
      <c r="G435" s="18">
        <v>14.65</v>
      </c>
      <c r="H435" s="18">
        <v>14.65</v>
      </c>
      <c r="I435" s="18">
        <v>14.65</v>
      </c>
      <c r="J435" s="18">
        <v>14.65</v>
      </c>
      <c r="K435" s="18">
        <v>14.65</v>
      </c>
      <c r="M435" s="18">
        <f t="shared" si="415"/>
        <v>9.26</v>
      </c>
      <c r="O435" s="18" t="e">
        <f>#REF!</f>
        <v>#REF!</v>
      </c>
      <c r="P435" s="22" t="e">
        <f t="shared" ref="P435:S435" si="421">O435</f>
        <v>#REF!</v>
      </c>
      <c r="Q435" s="22" t="e">
        <f t="shared" si="421"/>
        <v>#REF!</v>
      </c>
      <c r="R435" s="22" t="e">
        <f t="shared" si="421"/>
        <v>#REF!</v>
      </c>
      <c r="S435" s="22" t="e">
        <f t="shared" si="421"/>
        <v>#REF!</v>
      </c>
      <c r="U435" s="18" t="e">
        <f>#REF!</f>
        <v>#REF!</v>
      </c>
      <c r="W435" s="18" t="e">
        <f t="shared" si="381"/>
        <v>#REF!</v>
      </c>
      <c r="X435" s="18" t="e">
        <f t="shared" si="382"/>
        <v>#REF!</v>
      </c>
      <c r="Y435" s="18" t="e">
        <f t="shared" si="383"/>
        <v>#REF!</v>
      </c>
      <c r="Z435" s="18" t="e">
        <f t="shared" si="384"/>
        <v>#REF!</v>
      </c>
      <c r="AA435" s="18" t="e">
        <f t="shared" si="385"/>
        <v>#REF!</v>
      </c>
    </row>
    <row r="436" spans="2:27" x14ac:dyDescent="0.2">
      <c r="B436" s="9">
        <v>54</v>
      </c>
      <c r="C436" s="9" t="s">
        <v>39</v>
      </c>
      <c r="D436" s="10" t="s">
        <v>15</v>
      </c>
      <c r="E436" s="20" t="s">
        <v>18</v>
      </c>
      <c r="F436" s="10" t="str">
        <f t="shared" si="305"/>
        <v>54QPECONOMY</v>
      </c>
      <c r="G436" s="18">
        <v>15.65</v>
      </c>
      <c r="H436" s="18">
        <v>15.65</v>
      </c>
      <c r="I436" s="18">
        <v>15.65</v>
      </c>
      <c r="J436" s="18">
        <v>15.65</v>
      </c>
      <c r="K436" s="18">
        <v>15.65</v>
      </c>
      <c r="M436" s="18">
        <f t="shared" si="415"/>
        <v>9.26</v>
      </c>
      <c r="O436" s="18" t="e">
        <f>#REF!</f>
        <v>#REF!</v>
      </c>
      <c r="P436" s="22" t="e">
        <f t="shared" ref="P436:S436" si="422">O436</f>
        <v>#REF!</v>
      </c>
      <c r="Q436" s="22" t="e">
        <f t="shared" si="422"/>
        <v>#REF!</v>
      </c>
      <c r="R436" s="22" t="e">
        <f t="shared" si="422"/>
        <v>#REF!</v>
      </c>
      <c r="S436" s="22" t="e">
        <f t="shared" si="422"/>
        <v>#REF!</v>
      </c>
      <c r="U436" s="18" t="e">
        <f>#REF!</f>
        <v>#REF!</v>
      </c>
      <c r="W436" s="18" t="e">
        <f t="shared" si="381"/>
        <v>#REF!</v>
      </c>
      <c r="X436" s="18" t="e">
        <f t="shared" si="382"/>
        <v>#REF!</v>
      </c>
      <c r="Y436" s="18" t="e">
        <f t="shared" si="383"/>
        <v>#REF!</v>
      </c>
      <c r="Z436" s="18" t="e">
        <f t="shared" si="384"/>
        <v>#REF!</v>
      </c>
      <c r="AA436" s="18" t="e">
        <f t="shared" si="385"/>
        <v>#REF!</v>
      </c>
    </row>
    <row r="437" spans="2:27" x14ac:dyDescent="0.2">
      <c r="B437" s="9">
        <v>1</v>
      </c>
      <c r="C437" s="9" t="s">
        <v>36</v>
      </c>
      <c r="D437" s="10" t="s">
        <v>16</v>
      </c>
      <c r="E437" s="19" t="s">
        <v>12</v>
      </c>
      <c r="F437" s="10" t="str">
        <f t="shared" si="305"/>
        <v>1MQPPREMIUM</v>
      </c>
      <c r="G437" s="11">
        <v>12.171599999999998</v>
      </c>
      <c r="H437" s="11">
        <v>12.171599999999998</v>
      </c>
      <c r="I437" s="11">
        <v>12.171599999999998</v>
      </c>
      <c r="J437" s="11">
        <v>12.171599999999998</v>
      </c>
      <c r="K437" s="11">
        <v>12.171599999999998</v>
      </c>
      <c r="M437" s="11">
        <f t="shared" si="415"/>
        <v>10.31</v>
      </c>
      <c r="O437" s="11" t="e">
        <f>#REF!</f>
        <v>#REF!</v>
      </c>
      <c r="P437" s="22" t="e">
        <f t="shared" ref="P437:S437" si="423">O437</f>
        <v>#REF!</v>
      </c>
      <c r="Q437" s="22" t="e">
        <f t="shared" si="423"/>
        <v>#REF!</v>
      </c>
      <c r="R437" s="22" t="e">
        <f t="shared" si="423"/>
        <v>#REF!</v>
      </c>
      <c r="S437" s="22" t="e">
        <f t="shared" si="423"/>
        <v>#REF!</v>
      </c>
      <c r="U437" s="11" t="e">
        <f>#REF!</f>
        <v>#REF!</v>
      </c>
      <c r="W437" s="11" t="e">
        <f t="shared" si="381"/>
        <v>#REF!</v>
      </c>
      <c r="X437" s="11" t="e">
        <f t="shared" si="382"/>
        <v>#REF!</v>
      </c>
      <c r="Y437" s="11" t="e">
        <f t="shared" si="383"/>
        <v>#REF!</v>
      </c>
      <c r="Z437" s="11" t="e">
        <f t="shared" si="384"/>
        <v>#REF!</v>
      </c>
      <c r="AA437" s="11" t="e">
        <f t="shared" si="385"/>
        <v>#REF!</v>
      </c>
    </row>
    <row r="438" spans="2:27" x14ac:dyDescent="0.2">
      <c r="B438" s="9">
        <v>2</v>
      </c>
      <c r="C438" s="9" t="s">
        <v>36</v>
      </c>
      <c r="D438" s="10" t="s">
        <v>16</v>
      </c>
      <c r="E438" s="19" t="s">
        <v>12</v>
      </c>
      <c r="F438" s="10" t="str">
        <f t="shared" si="305"/>
        <v>2MQPPREMIUM</v>
      </c>
      <c r="G438" s="11">
        <v>13.341149999999999</v>
      </c>
      <c r="H438" s="11">
        <v>13.341149999999999</v>
      </c>
      <c r="I438" s="11">
        <v>13.341149999999999</v>
      </c>
      <c r="J438" s="11">
        <v>13.341149999999999</v>
      </c>
      <c r="K438" s="11">
        <v>13.341149999999999</v>
      </c>
      <c r="M438" s="11">
        <f t="shared" si="415"/>
        <v>10.31</v>
      </c>
      <c r="O438" s="11" t="e">
        <f>#REF!</f>
        <v>#REF!</v>
      </c>
      <c r="P438" s="22" t="e">
        <f t="shared" ref="P438:S438" si="424">O438</f>
        <v>#REF!</v>
      </c>
      <c r="Q438" s="22" t="e">
        <f t="shared" si="424"/>
        <v>#REF!</v>
      </c>
      <c r="R438" s="22" t="e">
        <f t="shared" si="424"/>
        <v>#REF!</v>
      </c>
      <c r="S438" s="22" t="e">
        <f t="shared" si="424"/>
        <v>#REF!</v>
      </c>
      <c r="U438" s="11" t="e">
        <f>#REF!</f>
        <v>#REF!</v>
      </c>
      <c r="W438" s="11" t="e">
        <f t="shared" si="381"/>
        <v>#REF!</v>
      </c>
      <c r="X438" s="11" t="e">
        <f t="shared" si="382"/>
        <v>#REF!</v>
      </c>
      <c r="Y438" s="11" t="e">
        <f t="shared" si="383"/>
        <v>#REF!</v>
      </c>
      <c r="Z438" s="11" t="e">
        <f t="shared" si="384"/>
        <v>#REF!</v>
      </c>
      <c r="AA438" s="11" t="e">
        <f t="shared" si="385"/>
        <v>#REF!</v>
      </c>
    </row>
    <row r="439" spans="2:27" x14ac:dyDescent="0.2">
      <c r="B439" s="9">
        <v>3</v>
      </c>
      <c r="C439" s="9" t="s">
        <v>36</v>
      </c>
      <c r="D439" s="10" t="s">
        <v>16</v>
      </c>
      <c r="E439" s="19" t="s">
        <v>12</v>
      </c>
      <c r="F439" s="10" t="str">
        <f t="shared" si="305"/>
        <v>3MQPPREMIUM</v>
      </c>
      <c r="G439" s="11">
        <v>14.686649999999998</v>
      </c>
      <c r="H439" s="11">
        <v>14.686649999999998</v>
      </c>
      <c r="I439" s="11">
        <v>14.686649999999998</v>
      </c>
      <c r="J439" s="11">
        <v>14.686649999999998</v>
      </c>
      <c r="K439" s="11">
        <v>14.686649999999998</v>
      </c>
      <c r="M439" s="11">
        <f t="shared" si="415"/>
        <v>10.31</v>
      </c>
      <c r="O439" s="11" t="e">
        <f>#REF!</f>
        <v>#REF!</v>
      </c>
      <c r="P439" s="22" t="e">
        <f t="shared" ref="P439:S439" si="425">O439</f>
        <v>#REF!</v>
      </c>
      <c r="Q439" s="22" t="e">
        <f t="shared" si="425"/>
        <v>#REF!</v>
      </c>
      <c r="R439" s="22" t="e">
        <f t="shared" si="425"/>
        <v>#REF!</v>
      </c>
      <c r="S439" s="22" t="e">
        <f t="shared" si="425"/>
        <v>#REF!</v>
      </c>
      <c r="U439" s="11" t="e">
        <f>#REF!</f>
        <v>#REF!</v>
      </c>
      <c r="W439" s="11" t="e">
        <f t="shared" si="381"/>
        <v>#REF!</v>
      </c>
      <c r="X439" s="11" t="e">
        <f t="shared" si="382"/>
        <v>#REF!</v>
      </c>
      <c r="Y439" s="11" t="e">
        <f t="shared" si="383"/>
        <v>#REF!</v>
      </c>
      <c r="Z439" s="11" t="e">
        <f t="shared" si="384"/>
        <v>#REF!</v>
      </c>
      <c r="AA439" s="11" t="e">
        <f t="shared" si="385"/>
        <v>#REF!</v>
      </c>
    </row>
    <row r="440" spans="2:27" x14ac:dyDescent="0.2">
      <c r="B440" s="9">
        <v>4</v>
      </c>
      <c r="C440" s="9" t="s">
        <v>36</v>
      </c>
      <c r="D440" s="10" t="s">
        <v>16</v>
      </c>
      <c r="E440" s="19" t="s">
        <v>12</v>
      </c>
      <c r="F440" s="10" t="str">
        <f t="shared" ref="F440:F507" si="426">B440&amp;D440&amp;E440</f>
        <v>4MQPPREMIUM</v>
      </c>
      <c r="G440" s="11">
        <v>18.174599999999998</v>
      </c>
      <c r="H440" s="11">
        <v>18.174599999999998</v>
      </c>
      <c r="I440" s="11">
        <v>18.174599999999998</v>
      </c>
      <c r="J440" s="11">
        <v>18.174599999999998</v>
      </c>
      <c r="K440" s="11">
        <v>18.174599999999998</v>
      </c>
      <c r="M440" s="11">
        <f t="shared" si="415"/>
        <v>10.31</v>
      </c>
      <c r="O440" s="11" t="e">
        <f>#REF!</f>
        <v>#REF!</v>
      </c>
      <c r="P440" s="22" t="e">
        <f t="shared" ref="P440:S440" si="427">O440</f>
        <v>#REF!</v>
      </c>
      <c r="Q440" s="22" t="e">
        <f t="shared" si="427"/>
        <v>#REF!</v>
      </c>
      <c r="R440" s="22" t="e">
        <f t="shared" si="427"/>
        <v>#REF!</v>
      </c>
      <c r="S440" s="22" t="e">
        <f t="shared" si="427"/>
        <v>#REF!</v>
      </c>
      <c r="U440" s="11" t="e">
        <f>#REF!</f>
        <v>#REF!</v>
      </c>
      <c r="W440" s="11" t="e">
        <f t="shared" si="381"/>
        <v>#REF!</v>
      </c>
      <c r="X440" s="11" t="e">
        <f t="shared" si="382"/>
        <v>#REF!</v>
      </c>
      <c r="Y440" s="11" t="e">
        <f t="shared" si="383"/>
        <v>#REF!</v>
      </c>
      <c r="Z440" s="11" t="e">
        <f t="shared" si="384"/>
        <v>#REF!</v>
      </c>
      <c r="AA440" s="11" t="e">
        <f t="shared" si="385"/>
        <v>#REF!</v>
      </c>
    </row>
    <row r="441" spans="2:27" x14ac:dyDescent="0.2">
      <c r="B441" s="9">
        <v>5</v>
      </c>
      <c r="C441" s="9" t="s">
        <v>36</v>
      </c>
      <c r="D441" s="10" t="s">
        <v>16</v>
      </c>
      <c r="E441" s="19" t="s">
        <v>12</v>
      </c>
      <c r="F441" s="10" t="str">
        <f t="shared" si="426"/>
        <v>5MQPPREMIUM</v>
      </c>
      <c r="G441" s="11">
        <v>20.306699999999999</v>
      </c>
      <c r="H441" s="11">
        <v>20.306699999999999</v>
      </c>
      <c r="I441" s="11">
        <v>20.306699999999999</v>
      </c>
      <c r="J441" s="11">
        <v>20.306699999999999</v>
      </c>
      <c r="K441" s="11">
        <v>20.306699999999999</v>
      </c>
      <c r="M441" s="11">
        <f t="shared" si="415"/>
        <v>10.31</v>
      </c>
      <c r="O441" s="11" t="e">
        <f>#REF!</f>
        <v>#REF!</v>
      </c>
      <c r="P441" s="22" t="e">
        <f t="shared" ref="P441:S441" si="428">O441</f>
        <v>#REF!</v>
      </c>
      <c r="Q441" s="22" t="e">
        <f t="shared" si="428"/>
        <v>#REF!</v>
      </c>
      <c r="R441" s="22" t="e">
        <f t="shared" si="428"/>
        <v>#REF!</v>
      </c>
      <c r="S441" s="22" t="e">
        <f t="shared" si="428"/>
        <v>#REF!</v>
      </c>
      <c r="U441" s="11" t="e">
        <f>#REF!</f>
        <v>#REF!</v>
      </c>
      <c r="W441" s="11" t="e">
        <f t="shared" si="381"/>
        <v>#REF!</v>
      </c>
      <c r="X441" s="11" t="e">
        <f t="shared" si="382"/>
        <v>#REF!</v>
      </c>
      <c r="Y441" s="11" t="e">
        <f t="shared" si="383"/>
        <v>#REF!</v>
      </c>
      <c r="Z441" s="11" t="e">
        <f t="shared" si="384"/>
        <v>#REF!</v>
      </c>
      <c r="AA441" s="11" t="e">
        <f t="shared" si="385"/>
        <v>#REF!</v>
      </c>
    </row>
    <row r="442" spans="2:27" x14ac:dyDescent="0.2">
      <c r="B442" s="9">
        <v>6</v>
      </c>
      <c r="C442" s="9" t="s">
        <v>36</v>
      </c>
      <c r="D442" s="10" t="s">
        <v>16</v>
      </c>
      <c r="E442" s="19" t="s">
        <v>12</v>
      </c>
      <c r="F442" s="10" t="str">
        <f t="shared" si="426"/>
        <v>6MQPPREMIUM</v>
      </c>
      <c r="G442" s="11">
        <v>21.496949999999998</v>
      </c>
      <c r="H442" s="11">
        <v>21.496949999999998</v>
      </c>
      <c r="I442" s="11">
        <v>21.496949999999998</v>
      </c>
      <c r="J442" s="11">
        <v>21.496949999999998</v>
      </c>
      <c r="K442" s="11">
        <v>21.496949999999998</v>
      </c>
      <c r="M442" s="11">
        <f t="shared" si="415"/>
        <v>10.31</v>
      </c>
      <c r="O442" s="11" t="e">
        <f>#REF!</f>
        <v>#REF!</v>
      </c>
      <c r="P442" s="22" t="e">
        <f t="shared" ref="P442:S442" si="429">O442</f>
        <v>#REF!</v>
      </c>
      <c r="Q442" s="22" t="e">
        <f t="shared" si="429"/>
        <v>#REF!</v>
      </c>
      <c r="R442" s="22" t="e">
        <f t="shared" si="429"/>
        <v>#REF!</v>
      </c>
      <c r="S442" s="22" t="e">
        <f t="shared" si="429"/>
        <v>#REF!</v>
      </c>
      <c r="U442" s="11" t="e">
        <f>#REF!</f>
        <v>#REF!</v>
      </c>
      <c r="W442" s="11" t="e">
        <f t="shared" si="381"/>
        <v>#REF!</v>
      </c>
      <c r="X442" s="11" t="e">
        <f t="shared" si="382"/>
        <v>#REF!</v>
      </c>
      <c r="Y442" s="11" t="e">
        <f t="shared" si="383"/>
        <v>#REF!</v>
      </c>
      <c r="Z442" s="11" t="e">
        <f t="shared" si="384"/>
        <v>#REF!</v>
      </c>
      <c r="AA442" s="11" t="e">
        <f t="shared" si="385"/>
        <v>#REF!</v>
      </c>
    </row>
    <row r="443" spans="2:27" x14ac:dyDescent="0.2">
      <c r="B443" s="9">
        <v>7</v>
      </c>
      <c r="C443" s="9" t="s">
        <v>36</v>
      </c>
      <c r="D443" s="10" t="s">
        <v>16</v>
      </c>
      <c r="E443" s="19" t="s">
        <v>12</v>
      </c>
      <c r="F443" s="10" t="str">
        <f t="shared" si="426"/>
        <v>7MQPPREMIUM</v>
      </c>
      <c r="G443" s="11">
        <v>22.26285</v>
      </c>
      <c r="H443" s="11">
        <v>22.26285</v>
      </c>
      <c r="I443" s="11">
        <v>22.26285</v>
      </c>
      <c r="J443" s="11">
        <v>22.26285</v>
      </c>
      <c r="K443" s="11">
        <v>22.26285</v>
      </c>
      <c r="M443" s="11">
        <f t="shared" si="415"/>
        <v>10.31</v>
      </c>
      <c r="O443" s="11" t="e">
        <f>#REF!</f>
        <v>#REF!</v>
      </c>
      <c r="P443" s="22" t="e">
        <f t="shared" ref="P443:S443" si="430">O443</f>
        <v>#REF!</v>
      </c>
      <c r="Q443" s="22" t="e">
        <f t="shared" si="430"/>
        <v>#REF!</v>
      </c>
      <c r="R443" s="22" t="e">
        <f t="shared" si="430"/>
        <v>#REF!</v>
      </c>
      <c r="S443" s="22" t="e">
        <f t="shared" si="430"/>
        <v>#REF!</v>
      </c>
      <c r="U443" s="11" t="e">
        <f>#REF!</f>
        <v>#REF!</v>
      </c>
      <c r="W443" s="11" t="e">
        <f t="shared" si="381"/>
        <v>#REF!</v>
      </c>
      <c r="X443" s="11" t="e">
        <f t="shared" si="382"/>
        <v>#REF!</v>
      </c>
      <c r="Y443" s="11" t="e">
        <f t="shared" si="383"/>
        <v>#REF!</v>
      </c>
      <c r="Z443" s="11" t="e">
        <f t="shared" si="384"/>
        <v>#REF!</v>
      </c>
      <c r="AA443" s="11" t="e">
        <f t="shared" si="385"/>
        <v>#REF!</v>
      </c>
    </row>
    <row r="444" spans="2:27" x14ac:dyDescent="0.2">
      <c r="B444" s="9">
        <v>8</v>
      </c>
      <c r="C444" s="9" t="s">
        <v>36</v>
      </c>
      <c r="D444" s="10" t="s">
        <v>16</v>
      </c>
      <c r="E444" s="19" t="s">
        <v>12</v>
      </c>
      <c r="F444" s="10" t="str">
        <f t="shared" si="426"/>
        <v>8MQPPREMIUM</v>
      </c>
      <c r="G444" s="11">
        <v>29.963249999999999</v>
      </c>
      <c r="H444" s="11">
        <v>29.963249999999999</v>
      </c>
      <c r="I444" s="11">
        <v>29.963249999999999</v>
      </c>
      <c r="J444" s="11">
        <v>29.963249999999999</v>
      </c>
      <c r="K444" s="11">
        <v>29.963249999999999</v>
      </c>
      <c r="M444" s="11">
        <f t="shared" si="415"/>
        <v>10.31</v>
      </c>
      <c r="O444" s="11" t="e">
        <f>#REF!</f>
        <v>#REF!</v>
      </c>
      <c r="P444" s="22" t="e">
        <f t="shared" ref="P444:S444" si="431">O444</f>
        <v>#REF!</v>
      </c>
      <c r="Q444" s="22" t="e">
        <f t="shared" si="431"/>
        <v>#REF!</v>
      </c>
      <c r="R444" s="22" t="e">
        <f t="shared" si="431"/>
        <v>#REF!</v>
      </c>
      <c r="S444" s="22" t="e">
        <f t="shared" si="431"/>
        <v>#REF!</v>
      </c>
      <c r="U444" s="11" t="e">
        <f>#REF!</f>
        <v>#REF!</v>
      </c>
      <c r="W444" s="11" t="e">
        <f t="shared" si="381"/>
        <v>#REF!</v>
      </c>
      <c r="X444" s="11" t="e">
        <f t="shared" si="382"/>
        <v>#REF!</v>
      </c>
      <c r="Y444" s="11" t="e">
        <f t="shared" si="383"/>
        <v>#REF!</v>
      </c>
      <c r="Z444" s="11" t="e">
        <f t="shared" si="384"/>
        <v>#REF!</v>
      </c>
      <c r="AA444" s="11" t="e">
        <f t="shared" si="385"/>
        <v>#REF!</v>
      </c>
    </row>
    <row r="445" spans="2:27" x14ac:dyDescent="0.2">
      <c r="B445" s="9">
        <v>9</v>
      </c>
      <c r="C445" s="9" t="s">
        <v>36</v>
      </c>
      <c r="D445" s="10" t="s">
        <v>16</v>
      </c>
      <c r="E445" s="19" t="s">
        <v>12</v>
      </c>
      <c r="F445" s="10" t="str">
        <f t="shared" si="426"/>
        <v>9MQPPREMIUM</v>
      </c>
      <c r="G445" s="11">
        <v>48.489750000000001</v>
      </c>
      <c r="H445" s="11">
        <v>48.489750000000001</v>
      </c>
      <c r="I445" s="11">
        <v>48.489750000000001</v>
      </c>
      <c r="J445" s="11">
        <v>48.489750000000001</v>
      </c>
      <c r="K445" s="11">
        <v>48.489750000000001</v>
      </c>
      <c r="M445" s="11">
        <f t="shared" si="415"/>
        <v>10.31</v>
      </c>
      <c r="O445" s="11" t="e">
        <f>#REF!</f>
        <v>#REF!</v>
      </c>
      <c r="P445" s="22" t="e">
        <f t="shared" ref="P445:S445" si="432">O445</f>
        <v>#REF!</v>
      </c>
      <c r="Q445" s="22" t="e">
        <f t="shared" si="432"/>
        <v>#REF!</v>
      </c>
      <c r="R445" s="22" t="e">
        <f t="shared" si="432"/>
        <v>#REF!</v>
      </c>
      <c r="S445" s="22" t="e">
        <f t="shared" si="432"/>
        <v>#REF!</v>
      </c>
      <c r="U445" s="11" t="e">
        <f>#REF!</f>
        <v>#REF!</v>
      </c>
      <c r="W445" s="11" t="e">
        <f t="shared" si="381"/>
        <v>#REF!</v>
      </c>
      <c r="X445" s="11" t="e">
        <f t="shared" si="382"/>
        <v>#REF!</v>
      </c>
      <c r="Y445" s="11" t="e">
        <f t="shared" si="383"/>
        <v>#REF!</v>
      </c>
      <c r="Z445" s="11" t="e">
        <f t="shared" si="384"/>
        <v>#REF!</v>
      </c>
      <c r="AA445" s="11" t="e">
        <f t="shared" si="385"/>
        <v>#REF!</v>
      </c>
    </row>
    <row r="446" spans="2:27" x14ac:dyDescent="0.2">
      <c r="B446" s="9">
        <v>10</v>
      </c>
      <c r="C446" s="9" t="s">
        <v>36</v>
      </c>
      <c r="D446" s="10" t="s">
        <v>16</v>
      </c>
      <c r="E446" s="19" t="s">
        <v>12</v>
      </c>
      <c r="F446" s="10" t="str">
        <f t="shared" si="426"/>
        <v>10MQPPREMIUM</v>
      </c>
      <c r="G446" s="11">
        <v>50.683949999999996</v>
      </c>
      <c r="H446" s="11">
        <v>50.683949999999996</v>
      </c>
      <c r="I446" s="11">
        <v>50.683949999999996</v>
      </c>
      <c r="J446" s="11">
        <v>50.683949999999996</v>
      </c>
      <c r="K446" s="11">
        <v>50.683949999999996</v>
      </c>
      <c r="M446" s="11">
        <f t="shared" si="415"/>
        <v>10.31</v>
      </c>
      <c r="O446" s="11" t="e">
        <f>#REF!</f>
        <v>#REF!</v>
      </c>
      <c r="P446" s="22" t="e">
        <f t="shared" ref="P446:S446" si="433">O446</f>
        <v>#REF!</v>
      </c>
      <c r="Q446" s="22" t="e">
        <f t="shared" si="433"/>
        <v>#REF!</v>
      </c>
      <c r="R446" s="22" t="e">
        <f t="shared" si="433"/>
        <v>#REF!</v>
      </c>
      <c r="S446" s="22" t="e">
        <f t="shared" si="433"/>
        <v>#REF!</v>
      </c>
      <c r="U446" s="11" t="e">
        <f>#REF!</f>
        <v>#REF!</v>
      </c>
      <c r="W446" s="11" t="e">
        <f t="shared" si="381"/>
        <v>#REF!</v>
      </c>
      <c r="X446" s="11" t="e">
        <f t="shared" si="382"/>
        <v>#REF!</v>
      </c>
      <c r="Y446" s="11" t="e">
        <f t="shared" si="383"/>
        <v>#REF!</v>
      </c>
      <c r="Z446" s="11" t="e">
        <f t="shared" si="384"/>
        <v>#REF!</v>
      </c>
      <c r="AA446" s="11" t="e">
        <f t="shared" si="385"/>
        <v>#REF!</v>
      </c>
    </row>
    <row r="447" spans="2:27" x14ac:dyDescent="0.2">
      <c r="B447" s="9">
        <v>11</v>
      </c>
      <c r="C447" s="9" t="s">
        <v>36</v>
      </c>
      <c r="D447" s="10" t="s">
        <v>16</v>
      </c>
      <c r="E447" s="19" t="s">
        <v>12</v>
      </c>
      <c r="F447" s="10" t="str">
        <f t="shared" si="426"/>
        <v>11MQPPREMIUM</v>
      </c>
      <c r="G447" s="11">
        <v>49.0383</v>
      </c>
      <c r="H447" s="11">
        <v>49.0383</v>
      </c>
      <c r="I447" s="11">
        <v>49.0383</v>
      </c>
      <c r="J447" s="11">
        <v>49.0383</v>
      </c>
      <c r="K447" s="11">
        <v>49.0383</v>
      </c>
      <c r="M447" s="11">
        <f t="shared" si="415"/>
        <v>10.31</v>
      </c>
      <c r="O447" s="11" t="e">
        <f>#REF!</f>
        <v>#REF!</v>
      </c>
      <c r="P447" s="22" t="e">
        <f t="shared" ref="P447:S447" si="434">O447</f>
        <v>#REF!</v>
      </c>
      <c r="Q447" s="22" t="e">
        <f t="shared" si="434"/>
        <v>#REF!</v>
      </c>
      <c r="R447" s="22" t="e">
        <f t="shared" si="434"/>
        <v>#REF!</v>
      </c>
      <c r="S447" s="22" t="e">
        <f t="shared" si="434"/>
        <v>#REF!</v>
      </c>
      <c r="U447" s="11" t="e">
        <f>#REF!</f>
        <v>#REF!</v>
      </c>
      <c r="W447" s="11" t="e">
        <f t="shared" si="381"/>
        <v>#REF!</v>
      </c>
      <c r="X447" s="11" t="e">
        <f t="shared" si="382"/>
        <v>#REF!</v>
      </c>
      <c r="Y447" s="11" t="e">
        <f t="shared" si="383"/>
        <v>#REF!</v>
      </c>
      <c r="Z447" s="11" t="e">
        <f t="shared" si="384"/>
        <v>#REF!</v>
      </c>
      <c r="AA447" s="11" t="e">
        <f t="shared" si="385"/>
        <v>#REF!</v>
      </c>
    </row>
    <row r="448" spans="2:27" x14ac:dyDescent="0.2">
      <c r="B448" s="9">
        <v>12</v>
      </c>
      <c r="C448" s="9" t="s">
        <v>36</v>
      </c>
      <c r="D448" s="10" t="s">
        <v>16</v>
      </c>
      <c r="E448" s="19" t="s">
        <v>12</v>
      </c>
      <c r="F448" s="10" t="str">
        <f t="shared" si="426"/>
        <v>12MQPPREMIUM</v>
      </c>
      <c r="G448" s="11">
        <v>87.478199999999987</v>
      </c>
      <c r="H448" s="11">
        <v>87.478199999999987</v>
      </c>
      <c r="I448" s="11">
        <v>87.478199999999987</v>
      </c>
      <c r="J448" s="11">
        <v>87.478199999999987</v>
      </c>
      <c r="K448" s="11">
        <v>87.478199999999987</v>
      </c>
      <c r="M448" s="11">
        <f t="shared" si="415"/>
        <v>10.31</v>
      </c>
      <c r="O448" s="11" t="e">
        <f>#REF!</f>
        <v>#REF!</v>
      </c>
      <c r="P448" s="22" t="e">
        <f t="shared" ref="P448:S448" si="435">O448</f>
        <v>#REF!</v>
      </c>
      <c r="Q448" s="22" t="e">
        <f t="shared" si="435"/>
        <v>#REF!</v>
      </c>
      <c r="R448" s="22" t="e">
        <f t="shared" si="435"/>
        <v>#REF!</v>
      </c>
      <c r="S448" s="22" t="e">
        <f t="shared" si="435"/>
        <v>#REF!</v>
      </c>
      <c r="U448" s="11" t="e">
        <f>#REF!</f>
        <v>#REF!</v>
      </c>
      <c r="W448" s="11" t="e">
        <f t="shared" si="381"/>
        <v>#REF!</v>
      </c>
      <c r="X448" s="11" t="e">
        <f t="shared" si="382"/>
        <v>#REF!</v>
      </c>
      <c r="Y448" s="11" t="e">
        <f t="shared" si="383"/>
        <v>#REF!</v>
      </c>
      <c r="Z448" s="11" t="e">
        <f t="shared" si="384"/>
        <v>#REF!</v>
      </c>
      <c r="AA448" s="11" t="e">
        <f t="shared" si="385"/>
        <v>#REF!</v>
      </c>
    </row>
    <row r="449" spans="2:27" x14ac:dyDescent="0.2">
      <c r="B449" s="9">
        <v>13</v>
      </c>
      <c r="C449" s="9" t="s">
        <v>36</v>
      </c>
      <c r="D449" s="10" t="s">
        <v>16</v>
      </c>
      <c r="E449" s="19" t="s">
        <v>12</v>
      </c>
      <c r="F449" s="10" t="str">
        <f t="shared" ref="F449:F450" si="436">B449&amp;D449&amp;E449</f>
        <v>13MQPPREMIUM</v>
      </c>
      <c r="G449" s="11">
        <v>105.57</v>
      </c>
      <c r="H449" s="11">
        <v>105.57</v>
      </c>
      <c r="I449" s="11">
        <v>105.57</v>
      </c>
      <c r="J449" s="11">
        <v>105.57</v>
      </c>
      <c r="K449" s="11">
        <v>105.57</v>
      </c>
      <c r="M449" s="11">
        <f t="shared" si="415"/>
        <v>10.31</v>
      </c>
      <c r="O449" s="11" t="e">
        <f>#REF!</f>
        <v>#REF!</v>
      </c>
      <c r="P449" s="22" t="e">
        <f t="shared" ref="P449:P450" si="437">O449</f>
        <v>#REF!</v>
      </c>
      <c r="Q449" s="22" t="e">
        <f t="shared" ref="Q449:Q450" si="438">P449</f>
        <v>#REF!</v>
      </c>
      <c r="R449" s="22" t="e">
        <f t="shared" ref="R449:R450" si="439">Q449</f>
        <v>#REF!</v>
      </c>
      <c r="S449" s="22" t="e">
        <f t="shared" ref="S449:S450" si="440">R449</f>
        <v>#REF!</v>
      </c>
      <c r="U449" s="11" t="e">
        <f>#REF!</f>
        <v>#REF!</v>
      </c>
      <c r="W449" s="11" t="e">
        <f t="shared" ref="W449:W450" si="441">G449+$M449+O449+$U449</f>
        <v>#REF!</v>
      </c>
      <c r="X449" s="11" t="e">
        <f t="shared" ref="X449:X450" si="442">H449+$M449+P449+$U449</f>
        <v>#REF!</v>
      </c>
      <c r="Y449" s="11" t="e">
        <f t="shared" ref="Y449:Y450" si="443">I449+$M449+Q449+$U449</f>
        <v>#REF!</v>
      </c>
      <c r="Z449" s="11" t="e">
        <f t="shared" ref="Z449:Z450" si="444">J449+$M449+R449+$U449</f>
        <v>#REF!</v>
      </c>
      <c r="AA449" s="11" t="e">
        <f t="shared" ref="AA449:AA450" si="445">K449+$M449+S449+$U449</f>
        <v>#REF!</v>
      </c>
    </row>
    <row r="450" spans="2:27" x14ac:dyDescent="0.2">
      <c r="B450" s="9">
        <v>14</v>
      </c>
      <c r="C450" s="9" t="s">
        <v>36</v>
      </c>
      <c r="D450" s="10" t="s">
        <v>16</v>
      </c>
      <c r="E450" s="19" t="s">
        <v>12</v>
      </c>
      <c r="F450" s="10" t="str">
        <f t="shared" si="436"/>
        <v>14MQPPREMIUM</v>
      </c>
      <c r="G450" s="11">
        <v>110.74499999999999</v>
      </c>
      <c r="H450" s="11">
        <v>110.74499999999999</v>
      </c>
      <c r="I450" s="11">
        <v>110.74499999999999</v>
      </c>
      <c r="J450" s="11">
        <v>110.74499999999999</v>
      </c>
      <c r="K450" s="11">
        <v>110.74499999999999</v>
      </c>
      <c r="M450" s="11">
        <f t="shared" si="415"/>
        <v>10.31</v>
      </c>
      <c r="O450" s="11" t="e">
        <f>#REF!</f>
        <v>#REF!</v>
      </c>
      <c r="P450" s="22" t="e">
        <f t="shared" si="437"/>
        <v>#REF!</v>
      </c>
      <c r="Q450" s="22" t="e">
        <f t="shared" si="438"/>
        <v>#REF!</v>
      </c>
      <c r="R450" s="22" t="e">
        <f t="shared" si="439"/>
        <v>#REF!</v>
      </c>
      <c r="S450" s="22" t="e">
        <f t="shared" si="440"/>
        <v>#REF!</v>
      </c>
      <c r="U450" s="11" t="e">
        <f>#REF!</f>
        <v>#REF!</v>
      </c>
      <c r="W450" s="11" t="e">
        <f t="shared" si="441"/>
        <v>#REF!</v>
      </c>
      <c r="X450" s="11" t="e">
        <f t="shared" si="442"/>
        <v>#REF!</v>
      </c>
      <c r="Y450" s="11" t="e">
        <f t="shared" si="443"/>
        <v>#REF!</v>
      </c>
      <c r="Z450" s="11" t="e">
        <f t="shared" si="444"/>
        <v>#REF!</v>
      </c>
      <c r="AA450" s="11" t="e">
        <f t="shared" si="445"/>
        <v>#REF!</v>
      </c>
    </row>
    <row r="451" spans="2:27" x14ac:dyDescent="0.2">
      <c r="B451" s="9">
        <v>21</v>
      </c>
      <c r="C451" s="9" t="s">
        <v>37</v>
      </c>
      <c r="D451" s="10" t="s">
        <v>16</v>
      </c>
      <c r="E451" s="19" t="s">
        <v>12</v>
      </c>
      <c r="F451" s="10" t="str">
        <f t="shared" si="426"/>
        <v>21MQPPREMIUM</v>
      </c>
      <c r="G451" s="12">
        <v>9.8635499999999983</v>
      </c>
      <c r="H451" s="12">
        <v>9.8635499999999983</v>
      </c>
      <c r="I451" s="12">
        <v>9.8635499999999983</v>
      </c>
      <c r="J451" s="12">
        <v>9.8635499999999983</v>
      </c>
      <c r="K451" s="12">
        <v>9.8635499999999983</v>
      </c>
      <c r="M451" s="12">
        <f t="shared" si="415"/>
        <v>10.210000000000001</v>
      </c>
      <c r="O451" s="12" t="e">
        <f>#REF!</f>
        <v>#REF!</v>
      </c>
      <c r="P451" s="22" t="e">
        <f t="shared" ref="P451:S451" si="446">O451</f>
        <v>#REF!</v>
      </c>
      <c r="Q451" s="22" t="e">
        <f t="shared" si="446"/>
        <v>#REF!</v>
      </c>
      <c r="R451" s="22" t="e">
        <f t="shared" si="446"/>
        <v>#REF!</v>
      </c>
      <c r="S451" s="22" t="e">
        <f t="shared" si="446"/>
        <v>#REF!</v>
      </c>
      <c r="U451" s="12" t="e">
        <f>#REF!</f>
        <v>#REF!</v>
      </c>
      <c r="W451" s="12" t="e">
        <f t="shared" si="381"/>
        <v>#REF!</v>
      </c>
      <c r="X451" s="12" t="e">
        <f t="shared" si="382"/>
        <v>#REF!</v>
      </c>
      <c r="Y451" s="12" t="e">
        <f t="shared" si="383"/>
        <v>#REF!</v>
      </c>
      <c r="Z451" s="12" t="e">
        <f t="shared" si="384"/>
        <v>#REF!</v>
      </c>
      <c r="AA451" s="12" t="e">
        <f t="shared" si="385"/>
        <v>#REF!</v>
      </c>
    </row>
    <row r="452" spans="2:27" x14ac:dyDescent="0.2">
      <c r="B452" s="9">
        <v>22</v>
      </c>
      <c r="C452" s="9" t="s">
        <v>37</v>
      </c>
      <c r="D452" s="10" t="s">
        <v>16</v>
      </c>
      <c r="E452" s="19" t="s">
        <v>12</v>
      </c>
      <c r="F452" s="10" t="str">
        <f t="shared" si="426"/>
        <v>22MQPPREMIUM</v>
      </c>
      <c r="G452" s="12">
        <v>11.240099999999998</v>
      </c>
      <c r="H452" s="12">
        <v>11.240099999999998</v>
      </c>
      <c r="I452" s="12">
        <v>11.240099999999998</v>
      </c>
      <c r="J452" s="12">
        <v>11.240099999999998</v>
      </c>
      <c r="K452" s="12">
        <v>11.240099999999998</v>
      </c>
      <c r="M452" s="12">
        <f t="shared" si="415"/>
        <v>10.210000000000001</v>
      </c>
      <c r="O452" s="12" t="e">
        <f>#REF!</f>
        <v>#REF!</v>
      </c>
      <c r="P452" s="22" t="e">
        <f t="shared" ref="P452:S452" si="447">O452</f>
        <v>#REF!</v>
      </c>
      <c r="Q452" s="22" t="e">
        <f t="shared" si="447"/>
        <v>#REF!</v>
      </c>
      <c r="R452" s="22" t="e">
        <f t="shared" si="447"/>
        <v>#REF!</v>
      </c>
      <c r="S452" s="22" t="e">
        <f t="shared" si="447"/>
        <v>#REF!</v>
      </c>
      <c r="U452" s="12" t="e">
        <f>#REF!</f>
        <v>#REF!</v>
      </c>
      <c r="W452" s="12" t="e">
        <f t="shared" si="381"/>
        <v>#REF!</v>
      </c>
      <c r="X452" s="12" t="e">
        <f t="shared" si="382"/>
        <v>#REF!</v>
      </c>
      <c r="Y452" s="12" t="e">
        <f t="shared" si="383"/>
        <v>#REF!</v>
      </c>
      <c r="Z452" s="12" t="e">
        <f t="shared" si="384"/>
        <v>#REF!</v>
      </c>
      <c r="AA452" s="12" t="e">
        <f t="shared" si="385"/>
        <v>#REF!</v>
      </c>
    </row>
    <row r="453" spans="2:27" x14ac:dyDescent="0.2">
      <c r="B453" s="9">
        <v>23</v>
      </c>
      <c r="C453" s="9" t="s">
        <v>37</v>
      </c>
      <c r="D453" s="10" t="s">
        <v>16</v>
      </c>
      <c r="E453" s="19" t="s">
        <v>12</v>
      </c>
      <c r="F453" s="10" t="str">
        <f t="shared" si="426"/>
        <v>23MQPPREMIUM</v>
      </c>
      <c r="G453" s="12">
        <v>12.2958</v>
      </c>
      <c r="H453" s="12">
        <v>12.2958</v>
      </c>
      <c r="I453" s="12">
        <v>12.2958</v>
      </c>
      <c r="J453" s="12">
        <v>12.2958</v>
      </c>
      <c r="K453" s="12">
        <v>12.2958</v>
      </c>
      <c r="M453" s="12">
        <f t="shared" si="415"/>
        <v>10.210000000000001</v>
      </c>
      <c r="O453" s="12" t="e">
        <f>#REF!</f>
        <v>#REF!</v>
      </c>
      <c r="P453" s="22" t="e">
        <f t="shared" ref="P453:S453" si="448">O453</f>
        <v>#REF!</v>
      </c>
      <c r="Q453" s="22" t="e">
        <f t="shared" si="448"/>
        <v>#REF!</v>
      </c>
      <c r="R453" s="22" t="e">
        <f t="shared" si="448"/>
        <v>#REF!</v>
      </c>
      <c r="S453" s="22" t="e">
        <f t="shared" si="448"/>
        <v>#REF!</v>
      </c>
      <c r="U453" s="12" t="e">
        <f>#REF!</f>
        <v>#REF!</v>
      </c>
      <c r="W453" s="12" t="e">
        <f t="shared" si="381"/>
        <v>#REF!</v>
      </c>
      <c r="X453" s="12" t="e">
        <f t="shared" si="382"/>
        <v>#REF!</v>
      </c>
      <c r="Y453" s="12" t="e">
        <f t="shared" si="383"/>
        <v>#REF!</v>
      </c>
      <c r="Z453" s="12" t="e">
        <f t="shared" si="384"/>
        <v>#REF!</v>
      </c>
      <c r="AA453" s="12" t="e">
        <f t="shared" si="385"/>
        <v>#REF!</v>
      </c>
    </row>
    <row r="454" spans="2:27" x14ac:dyDescent="0.2">
      <c r="B454" s="9">
        <v>24</v>
      </c>
      <c r="C454" s="9" t="s">
        <v>37</v>
      </c>
      <c r="D454" s="10" t="s">
        <v>16</v>
      </c>
      <c r="E454" s="19" t="s">
        <v>12</v>
      </c>
      <c r="F454" s="10" t="str">
        <f t="shared" si="426"/>
        <v>24MQPPREMIUM</v>
      </c>
      <c r="G454" s="12">
        <v>13.496399999999998</v>
      </c>
      <c r="H454" s="12">
        <v>13.496399999999998</v>
      </c>
      <c r="I454" s="12">
        <v>13.496399999999998</v>
      </c>
      <c r="J454" s="12">
        <v>13.496399999999998</v>
      </c>
      <c r="K454" s="12">
        <v>13.496399999999998</v>
      </c>
      <c r="M454" s="12">
        <f t="shared" si="415"/>
        <v>10.210000000000001</v>
      </c>
      <c r="O454" s="12" t="e">
        <f>#REF!</f>
        <v>#REF!</v>
      </c>
      <c r="P454" s="22" t="e">
        <f t="shared" ref="P454:S454" si="449">O454</f>
        <v>#REF!</v>
      </c>
      <c r="Q454" s="22" t="e">
        <f t="shared" si="449"/>
        <v>#REF!</v>
      </c>
      <c r="R454" s="22" t="e">
        <f t="shared" si="449"/>
        <v>#REF!</v>
      </c>
      <c r="S454" s="22" t="e">
        <f t="shared" si="449"/>
        <v>#REF!</v>
      </c>
      <c r="U454" s="12" t="e">
        <f>#REF!</f>
        <v>#REF!</v>
      </c>
      <c r="W454" s="12" t="e">
        <f t="shared" si="381"/>
        <v>#REF!</v>
      </c>
      <c r="X454" s="12" t="e">
        <f t="shared" si="382"/>
        <v>#REF!</v>
      </c>
      <c r="Y454" s="12" t="e">
        <f t="shared" si="383"/>
        <v>#REF!</v>
      </c>
      <c r="Z454" s="12" t="e">
        <f t="shared" si="384"/>
        <v>#REF!</v>
      </c>
      <c r="AA454" s="12" t="e">
        <f t="shared" si="385"/>
        <v>#REF!</v>
      </c>
    </row>
    <row r="455" spans="2:27" x14ac:dyDescent="0.2">
      <c r="B455" s="9">
        <v>25</v>
      </c>
      <c r="C455" s="9" t="s">
        <v>37</v>
      </c>
      <c r="D455" s="10" t="s">
        <v>16</v>
      </c>
      <c r="E455" s="19" t="s">
        <v>12</v>
      </c>
      <c r="F455" s="10" t="str">
        <f t="shared" si="426"/>
        <v>25MQPPREMIUM</v>
      </c>
      <c r="G455" s="12">
        <v>14.500349999999999</v>
      </c>
      <c r="H455" s="12">
        <v>14.500349999999999</v>
      </c>
      <c r="I455" s="12">
        <v>14.500349999999999</v>
      </c>
      <c r="J455" s="12">
        <v>14.500349999999999</v>
      </c>
      <c r="K455" s="12">
        <v>14.500349999999999</v>
      </c>
      <c r="M455" s="12">
        <f t="shared" si="415"/>
        <v>10.210000000000001</v>
      </c>
      <c r="O455" s="12" t="e">
        <f>#REF!</f>
        <v>#REF!</v>
      </c>
      <c r="P455" s="22" t="e">
        <f t="shared" ref="P455:S455" si="450">O455</f>
        <v>#REF!</v>
      </c>
      <c r="Q455" s="22" t="e">
        <f t="shared" si="450"/>
        <v>#REF!</v>
      </c>
      <c r="R455" s="22" t="e">
        <f t="shared" si="450"/>
        <v>#REF!</v>
      </c>
      <c r="S455" s="22" t="e">
        <f t="shared" si="450"/>
        <v>#REF!</v>
      </c>
      <c r="U455" s="12" t="e">
        <f>#REF!</f>
        <v>#REF!</v>
      </c>
      <c r="W455" s="12" t="e">
        <f t="shared" si="381"/>
        <v>#REF!</v>
      </c>
      <c r="X455" s="12" t="e">
        <f t="shared" si="382"/>
        <v>#REF!</v>
      </c>
      <c r="Y455" s="12" t="e">
        <f t="shared" si="383"/>
        <v>#REF!</v>
      </c>
      <c r="Z455" s="12" t="e">
        <f t="shared" si="384"/>
        <v>#REF!</v>
      </c>
      <c r="AA455" s="12" t="e">
        <f t="shared" si="385"/>
        <v>#REF!</v>
      </c>
    </row>
    <row r="456" spans="2:27" x14ac:dyDescent="0.2">
      <c r="B456" s="9">
        <v>26</v>
      </c>
      <c r="C456" s="9" t="s">
        <v>37</v>
      </c>
      <c r="D456" s="10" t="s">
        <v>16</v>
      </c>
      <c r="E456" s="19" t="s">
        <v>12</v>
      </c>
      <c r="F456" s="10" t="str">
        <f t="shared" si="426"/>
        <v>26MQPPREMIUM</v>
      </c>
      <c r="G456" s="12">
        <v>16.239149999999999</v>
      </c>
      <c r="H456" s="12">
        <v>16.239149999999999</v>
      </c>
      <c r="I456" s="12">
        <v>16.239149999999999</v>
      </c>
      <c r="J456" s="12">
        <v>16.239149999999999</v>
      </c>
      <c r="K456" s="12">
        <v>16.239149999999999</v>
      </c>
      <c r="M456" s="12">
        <f t="shared" si="415"/>
        <v>10.210000000000001</v>
      </c>
      <c r="O456" s="12" t="e">
        <f>#REF!</f>
        <v>#REF!</v>
      </c>
      <c r="P456" s="22" t="e">
        <f t="shared" ref="P456:S456" si="451">O456</f>
        <v>#REF!</v>
      </c>
      <c r="Q456" s="22" t="e">
        <f t="shared" si="451"/>
        <v>#REF!</v>
      </c>
      <c r="R456" s="22" t="e">
        <f t="shared" si="451"/>
        <v>#REF!</v>
      </c>
      <c r="S456" s="22" t="e">
        <f t="shared" si="451"/>
        <v>#REF!</v>
      </c>
      <c r="U456" s="12" t="e">
        <f>#REF!</f>
        <v>#REF!</v>
      </c>
      <c r="W456" s="12" t="e">
        <f t="shared" si="381"/>
        <v>#REF!</v>
      </c>
      <c r="X456" s="12" t="e">
        <f t="shared" si="382"/>
        <v>#REF!</v>
      </c>
      <c r="Y456" s="12" t="e">
        <f t="shared" si="383"/>
        <v>#REF!</v>
      </c>
      <c r="Z456" s="12" t="e">
        <f t="shared" si="384"/>
        <v>#REF!</v>
      </c>
      <c r="AA456" s="12" t="e">
        <f t="shared" si="385"/>
        <v>#REF!</v>
      </c>
    </row>
    <row r="457" spans="2:27" x14ac:dyDescent="0.2">
      <c r="B457" s="9">
        <v>27</v>
      </c>
      <c r="C457" s="9" t="s">
        <v>37</v>
      </c>
      <c r="D457" s="10" t="s">
        <v>16</v>
      </c>
      <c r="E457" s="19" t="s">
        <v>12</v>
      </c>
      <c r="F457" s="10" t="str">
        <f t="shared" si="426"/>
        <v>27MQPPREMIUM</v>
      </c>
      <c r="G457" s="12">
        <v>47.175299999999993</v>
      </c>
      <c r="H457" s="12">
        <v>47.175299999999993</v>
      </c>
      <c r="I457" s="12">
        <v>47.175299999999993</v>
      </c>
      <c r="J457" s="12">
        <v>47.175299999999993</v>
      </c>
      <c r="K457" s="12">
        <v>47.175299999999993</v>
      </c>
      <c r="M457" s="12">
        <f t="shared" si="415"/>
        <v>10.210000000000001</v>
      </c>
      <c r="O457" s="12" t="e">
        <f>#REF!</f>
        <v>#REF!</v>
      </c>
      <c r="P457" s="22" t="e">
        <f t="shared" ref="P457:S457" si="452">O457</f>
        <v>#REF!</v>
      </c>
      <c r="Q457" s="22" t="e">
        <f t="shared" si="452"/>
        <v>#REF!</v>
      </c>
      <c r="R457" s="22" t="e">
        <f t="shared" si="452"/>
        <v>#REF!</v>
      </c>
      <c r="S457" s="22" t="e">
        <f t="shared" si="452"/>
        <v>#REF!</v>
      </c>
      <c r="U457" s="12" t="e">
        <f>#REF!</f>
        <v>#REF!</v>
      </c>
      <c r="W457" s="12" t="e">
        <f t="shared" si="381"/>
        <v>#REF!</v>
      </c>
      <c r="X457" s="12" t="e">
        <f t="shared" si="382"/>
        <v>#REF!</v>
      </c>
      <c r="Y457" s="12" t="e">
        <f t="shared" si="383"/>
        <v>#REF!</v>
      </c>
      <c r="Z457" s="12" t="e">
        <f t="shared" si="384"/>
        <v>#REF!</v>
      </c>
      <c r="AA457" s="12" t="e">
        <f t="shared" si="385"/>
        <v>#REF!</v>
      </c>
    </row>
    <row r="458" spans="2:27" x14ac:dyDescent="0.2">
      <c r="B458" s="9">
        <v>28</v>
      </c>
      <c r="C458" s="9" t="s">
        <v>37</v>
      </c>
      <c r="D458" s="10" t="s">
        <v>16</v>
      </c>
      <c r="E458" s="19" t="s">
        <v>12</v>
      </c>
      <c r="F458" s="10" t="str">
        <f t="shared" si="426"/>
        <v>28MQPPREMIUM</v>
      </c>
      <c r="G458" s="12">
        <v>49.379849999999998</v>
      </c>
      <c r="H458" s="12">
        <v>49.379849999999998</v>
      </c>
      <c r="I458" s="12">
        <v>49.379849999999998</v>
      </c>
      <c r="J458" s="12">
        <v>49.379849999999998</v>
      </c>
      <c r="K458" s="12">
        <v>49.379849999999998</v>
      </c>
      <c r="M458" s="12">
        <f t="shared" si="415"/>
        <v>10.210000000000001</v>
      </c>
      <c r="O458" s="12" t="e">
        <f>#REF!</f>
        <v>#REF!</v>
      </c>
      <c r="P458" s="22" t="e">
        <f t="shared" ref="P458:S458" si="453">O458</f>
        <v>#REF!</v>
      </c>
      <c r="Q458" s="22" t="e">
        <f t="shared" si="453"/>
        <v>#REF!</v>
      </c>
      <c r="R458" s="22" t="e">
        <f t="shared" si="453"/>
        <v>#REF!</v>
      </c>
      <c r="S458" s="22" t="e">
        <f t="shared" si="453"/>
        <v>#REF!</v>
      </c>
      <c r="U458" s="12" t="e">
        <f>#REF!</f>
        <v>#REF!</v>
      </c>
      <c r="W458" s="12" t="e">
        <f t="shared" si="381"/>
        <v>#REF!</v>
      </c>
      <c r="X458" s="12" t="e">
        <f t="shared" si="382"/>
        <v>#REF!</v>
      </c>
      <c r="Y458" s="12" t="e">
        <f t="shared" si="383"/>
        <v>#REF!</v>
      </c>
      <c r="Z458" s="12" t="e">
        <f t="shared" si="384"/>
        <v>#REF!</v>
      </c>
      <c r="AA458" s="12" t="e">
        <f t="shared" si="385"/>
        <v>#REF!</v>
      </c>
    </row>
    <row r="459" spans="2:27" x14ac:dyDescent="0.2">
      <c r="B459" s="9">
        <v>31</v>
      </c>
      <c r="C459" s="9" t="s">
        <v>46</v>
      </c>
      <c r="D459" s="10" t="s">
        <v>16</v>
      </c>
      <c r="E459" s="19" t="s">
        <v>12</v>
      </c>
      <c r="F459" s="10" t="str">
        <f t="shared" si="426"/>
        <v>31MQPPREMIUM</v>
      </c>
      <c r="G459" s="13">
        <v>9.8635499999999983</v>
      </c>
      <c r="H459" s="13">
        <v>9.8635499999999983</v>
      </c>
      <c r="I459" s="13">
        <v>9.8635499999999983</v>
      </c>
      <c r="J459" s="13">
        <v>9.8635499999999983</v>
      </c>
      <c r="K459" s="13">
        <v>9.8635499999999983</v>
      </c>
      <c r="M459" s="13">
        <f t="shared" si="415"/>
        <v>10.210000000000001</v>
      </c>
      <c r="O459" s="13" t="e">
        <f>#REF!</f>
        <v>#REF!</v>
      </c>
      <c r="P459" s="22" t="e">
        <f t="shared" ref="P459:S459" si="454">O459</f>
        <v>#REF!</v>
      </c>
      <c r="Q459" s="22" t="e">
        <f t="shared" si="454"/>
        <v>#REF!</v>
      </c>
      <c r="R459" s="22" t="e">
        <f t="shared" si="454"/>
        <v>#REF!</v>
      </c>
      <c r="S459" s="22" t="e">
        <f t="shared" si="454"/>
        <v>#REF!</v>
      </c>
      <c r="U459" s="13" t="e">
        <f>#REF!</f>
        <v>#REF!</v>
      </c>
      <c r="W459" s="13" t="e">
        <f t="shared" si="381"/>
        <v>#REF!</v>
      </c>
      <c r="X459" s="13" t="e">
        <f t="shared" si="382"/>
        <v>#REF!</v>
      </c>
      <c r="Y459" s="13" t="e">
        <f t="shared" si="383"/>
        <v>#REF!</v>
      </c>
      <c r="Z459" s="13" t="e">
        <f t="shared" si="384"/>
        <v>#REF!</v>
      </c>
      <c r="AA459" s="13" t="e">
        <f t="shared" si="385"/>
        <v>#REF!</v>
      </c>
    </row>
    <row r="460" spans="2:27" x14ac:dyDescent="0.2">
      <c r="B460" s="9">
        <v>32</v>
      </c>
      <c r="C460" s="9" t="s">
        <v>46</v>
      </c>
      <c r="D460" s="10" t="s">
        <v>16</v>
      </c>
      <c r="E460" s="19" t="s">
        <v>12</v>
      </c>
      <c r="F460" s="10" t="str">
        <f t="shared" si="426"/>
        <v>32MQPPREMIUM</v>
      </c>
      <c r="G460" s="13">
        <v>11.498849999999999</v>
      </c>
      <c r="H460" s="13">
        <v>11.498849999999999</v>
      </c>
      <c r="I460" s="13">
        <v>11.498849999999999</v>
      </c>
      <c r="J460" s="13">
        <v>11.498849999999999</v>
      </c>
      <c r="K460" s="13">
        <v>11.498849999999999</v>
      </c>
      <c r="M460" s="13">
        <f t="shared" si="415"/>
        <v>10.210000000000001</v>
      </c>
      <c r="O460" s="13" t="e">
        <f>#REF!</f>
        <v>#REF!</v>
      </c>
      <c r="P460" s="22" t="e">
        <f t="shared" ref="P460:S460" si="455">O460</f>
        <v>#REF!</v>
      </c>
      <c r="Q460" s="22" t="e">
        <f t="shared" si="455"/>
        <v>#REF!</v>
      </c>
      <c r="R460" s="22" t="e">
        <f t="shared" si="455"/>
        <v>#REF!</v>
      </c>
      <c r="S460" s="22" t="e">
        <f t="shared" si="455"/>
        <v>#REF!</v>
      </c>
      <c r="U460" s="13" t="e">
        <f>#REF!</f>
        <v>#REF!</v>
      </c>
      <c r="W460" s="13" t="e">
        <f t="shared" si="381"/>
        <v>#REF!</v>
      </c>
      <c r="X460" s="13" t="e">
        <f t="shared" si="382"/>
        <v>#REF!</v>
      </c>
      <c r="Y460" s="13" t="e">
        <f t="shared" si="383"/>
        <v>#REF!</v>
      </c>
      <c r="Z460" s="13" t="e">
        <f t="shared" si="384"/>
        <v>#REF!</v>
      </c>
      <c r="AA460" s="13" t="e">
        <f t="shared" si="385"/>
        <v>#REF!</v>
      </c>
    </row>
    <row r="461" spans="2:27" x14ac:dyDescent="0.2">
      <c r="B461" s="9">
        <v>33</v>
      </c>
      <c r="C461" s="9" t="s">
        <v>46</v>
      </c>
      <c r="D461" s="10" t="s">
        <v>16</v>
      </c>
      <c r="E461" s="19" t="s">
        <v>12</v>
      </c>
      <c r="F461" s="10" t="str">
        <f t="shared" si="426"/>
        <v>33MQPPREMIUM</v>
      </c>
      <c r="G461" s="13">
        <v>12.482099999999999</v>
      </c>
      <c r="H461" s="13">
        <v>12.482099999999999</v>
      </c>
      <c r="I461" s="13">
        <v>12.482099999999999</v>
      </c>
      <c r="J461" s="13">
        <v>12.482099999999999</v>
      </c>
      <c r="K461" s="13">
        <v>12.482099999999999</v>
      </c>
      <c r="M461" s="13">
        <f t="shared" si="415"/>
        <v>10.210000000000001</v>
      </c>
      <c r="O461" s="13" t="e">
        <f>#REF!</f>
        <v>#REF!</v>
      </c>
      <c r="P461" s="22" t="e">
        <f t="shared" ref="P461:S461" si="456">O461</f>
        <v>#REF!</v>
      </c>
      <c r="Q461" s="22" t="e">
        <f t="shared" si="456"/>
        <v>#REF!</v>
      </c>
      <c r="R461" s="22" t="e">
        <f t="shared" si="456"/>
        <v>#REF!</v>
      </c>
      <c r="S461" s="22" t="e">
        <f t="shared" si="456"/>
        <v>#REF!</v>
      </c>
      <c r="U461" s="13" t="e">
        <f>#REF!</f>
        <v>#REF!</v>
      </c>
      <c r="W461" s="13" t="e">
        <f t="shared" si="381"/>
        <v>#REF!</v>
      </c>
      <c r="X461" s="13" t="e">
        <f t="shared" si="382"/>
        <v>#REF!</v>
      </c>
      <c r="Y461" s="13" t="e">
        <f t="shared" si="383"/>
        <v>#REF!</v>
      </c>
      <c r="Z461" s="13" t="e">
        <f t="shared" si="384"/>
        <v>#REF!</v>
      </c>
      <c r="AA461" s="13" t="e">
        <f t="shared" si="385"/>
        <v>#REF!</v>
      </c>
    </row>
    <row r="462" spans="2:27" x14ac:dyDescent="0.2">
      <c r="B462" s="9">
        <v>34</v>
      </c>
      <c r="C462" s="9" t="s">
        <v>46</v>
      </c>
      <c r="D462" s="10" t="s">
        <v>16</v>
      </c>
      <c r="E462" s="19" t="s">
        <v>12</v>
      </c>
      <c r="F462" s="10" t="str">
        <f t="shared" si="426"/>
        <v>34MQPPREMIUM</v>
      </c>
      <c r="G462" s="13">
        <v>14.179499999999997</v>
      </c>
      <c r="H462" s="13">
        <v>14.179499999999997</v>
      </c>
      <c r="I462" s="13">
        <v>14.179499999999997</v>
      </c>
      <c r="J462" s="13">
        <v>14.179499999999997</v>
      </c>
      <c r="K462" s="13">
        <v>14.179499999999997</v>
      </c>
      <c r="M462" s="13">
        <f t="shared" si="415"/>
        <v>10.210000000000001</v>
      </c>
      <c r="O462" s="13" t="e">
        <f>#REF!</f>
        <v>#REF!</v>
      </c>
      <c r="P462" s="22" t="e">
        <f t="shared" ref="P462:S462" si="457">O462</f>
        <v>#REF!</v>
      </c>
      <c r="Q462" s="22" t="e">
        <f t="shared" si="457"/>
        <v>#REF!</v>
      </c>
      <c r="R462" s="22" t="e">
        <f t="shared" si="457"/>
        <v>#REF!</v>
      </c>
      <c r="S462" s="22" t="e">
        <f t="shared" si="457"/>
        <v>#REF!</v>
      </c>
      <c r="U462" s="13" t="e">
        <f>#REF!</f>
        <v>#REF!</v>
      </c>
      <c r="W462" s="13" t="e">
        <f t="shared" si="381"/>
        <v>#REF!</v>
      </c>
      <c r="X462" s="13" t="e">
        <f t="shared" si="382"/>
        <v>#REF!</v>
      </c>
      <c r="Y462" s="13" t="e">
        <f t="shared" si="383"/>
        <v>#REF!</v>
      </c>
      <c r="Z462" s="13" t="e">
        <f t="shared" si="384"/>
        <v>#REF!</v>
      </c>
      <c r="AA462" s="13" t="e">
        <f t="shared" si="385"/>
        <v>#REF!</v>
      </c>
    </row>
    <row r="463" spans="2:27" x14ac:dyDescent="0.2">
      <c r="B463" s="9">
        <v>35</v>
      </c>
      <c r="C463" s="9" t="s">
        <v>46</v>
      </c>
      <c r="D463" s="10" t="s">
        <v>16</v>
      </c>
      <c r="E463" s="19" t="s">
        <v>12</v>
      </c>
      <c r="F463" s="10" t="str">
        <f t="shared" si="426"/>
        <v>35MQPPREMIUM</v>
      </c>
      <c r="G463" s="13">
        <v>15.597449999999998</v>
      </c>
      <c r="H463" s="13">
        <v>15.597449999999998</v>
      </c>
      <c r="I463" s="13">
        <v>15.597449999999998</v>
      </c>
      <c r="J463" s="13">
        <v>15.597449999999998</v>
      </c>
      <c r="K463" s="13">
        <v>15.597449999999998</v>
      </c>
      <c r="M463" s="13">
        <f t="shared" si="415"/>
        <v>10.210000000000001</v>
      </c>
      <c r="O463" s="13" t="e">
        <f>#REF!</f>
        <v>#REF!</v>
      </c>
      <c r="P463" s="22" t="e">
        <f t="shared" ref="P463:S463" si="458">O463</f>
        <v>#REF!</v>
      </c>
      <c r="Q463" s="22" t="e">
        <f t="shared" si="458"/>
        <v>#REF!</v>
      </c>
      <c r="R463" s="22" t="e">
        <f t="shared" si="458"/>
        <v>#REF!</v>
      </c>
      <c r="S463" s="22" t="e">
        <f t="shared" si="458"/>
        <v>#REF!</v>
      </c>
      <c r="U463" s="13" t="e">
        <f>#REF!</f>
        <v>#REF!</v>
      </c>
      <c r="W463" s="13" t="e">
        <f t="shared" si="381"/>
        <v>#REF!</v>
      </c>
      <c r="X463" s="13" t="e">
        <f t="shared" si="382"/>
        <v>#REF!</v>
      </c>
      <c r="Y463" s="13" t="e">
        <f t="shared" si="383"/>
        <v>#REF!</v>
      </c>
      <c r="Z463" s="13" t="e">
        <f t="shared" si="384"/>
        <v>#REF!</v>
      </c>
      <c r="AA463" s="13" t="e">
        <f t="shared" si="385"/>
        <v>#REF!</v>
      </c>
    </row>
    <row r="464" spans="2:27" x14ac:dyDescent="0.2">
      <c r="B464" s="9">
        <v>41</v>
      </c>
      <c r="C464" s="9" t="s">
        <v>38</v>
      </c>
      <c r="D464" s="10" t="s">
        <v>16</v>
      </c>
      <c r="E464" s="19" t="s">
        <v>12</v>
      </c>
      <c r="F464" s="10" t="str">
        <f t="shared" si="426"/>
        <v>41MQPPREMIUM</v>
      </c>
      <c r="G464" s="14">
        <v>9.4499999999999993</v>
      </c>
      <c r="H464" s="14">
        <v>9.4499999999999993</v>
      </c>
      <c r="I464" s="14">
        <v>9.4499999999999993</v>
      </c>
      <c r="J464" s="14">
        <v>9.4499999999999993</v>
      </c>
      <c r="K464" s="14">
        <v>9.4499999999999993</v>
      </c>
      <c r="M464" s="14">
        <f t="shared" si="415"/>
        <v>9.26</v>
      </c>
      <c r="O464" s="14" t="e">
        <f>#REF!</f>
        <v>#REF!</v>
      </c>
      <c r="P464" s="22" t="e">
        <f t="shared" ref="P464:S464" si="459">O464</f>
        <v>#REF!</v>
      </c>
      <c r="Q464" s="22" t="e">
        <f t="shared" si="459"/>
        <v>#REF!</v>
      </c>
      <c r="R464" s="22" t="e">
        <f t="shared" si="459"/>
        <v>#REF!</v>
      </c>
      <c r="S464" s="22" t="e">
        <f t="shared" si="459"/>
        <v>#REF!</v>
      </c>
      <c r="U464" s="14" t="e">
        <f>#REF!</f>
        <v>#REF!</v>
      </c>
      <c r="W464" s="14" t="e">
        <f t="shared" si="381"/>
        <v>#REF!</v>
      </c>
      <c r="X464" s="14" t="e">
        <f t="shared" si="382"/>
        <v>#REF!</v>
      </c>
      <c r="Y464" s="14" t="e">
        <f t="shared" si="383"/>
        <v>#REF!</v>
      </c>
      <c r="Z464" s="14" t="e">
        <f t="shared" si="384"/>
        <v>#REF!</v>
      </c>
      <c r="AA464" s="14" t="e">
        <f t="shared" si="385"/>
        <v>#REF!</v>
      </c>
    </row>
    <row r="465" spans="2:27" x14ac:dyDescent="0.2">
      <c r="B465" s="9">
        <v>42</v>
      </c>
      <c r="C465" s="9" t="s">
        <v>38</v>
      </c>
      <c r="D465" s="10" t="s">
        <v>16</v>
      </c>
      <c r="E465" s="19" t="s">
        <v>12</v>
      </c>
      <c r="F465" s="10" t="str">
        <f t="shared" si="426"/>
        <v>42MQPPREMIUM</v>
      </c>
      <c r="G465" s="14">
        <v>10.35</v>
      </c>
      <c r="H465" s="14">
        <v>10.35</v>
      </c>
      <c r="I465" s="14">
        <v>10.35</v>
      </c>
      <c r="J465" s="14">
        <v>10.35</v>
      </c>
      <c r="K465" s="14">
        <v>10.35</v>
      </c>
      <c r="M465" s="14">
        <f t="shared" si="415"/>
        <v>9.26</v>
      </c>
      <c r="O465" s="14" t="e">
        <f>#REF!</f>
        <v>#REF!</v>
      </c>
      <c r="P465" s="22" t="e">
        <f t="shared" ref="P465:S465" si="460">O465</f>
        <v>#REF!</v>
      </c>
      <c r="Q465" s="22" t="e">
        <f t="shared" si="460"/>
        <v>#REF!</v>
      </c>
      <c r="R465" s="22" t="e">
        <f t="shared" si="460"/>
        <v>#REF!</v>
      </c>
      <c r="S465" s="22" t="e">
        <f t="shared" si="460"/>
        <v>#REF!</v>
      </c>
      <c r="U465" s="14" t="e">
        <f>#REF!</f>
        <v>#REF!</v>
      </c>
      <c r="W465" s="14" t="e">
        <f t="shared" si="381"/>
        <v>#REF!</v>
      </c>
      <c r="X465" s="14" t="e">
        <f t="shared" si="382"/>
        <v>#REF!</v>
      </c>
      <c r="Y465" s="14" t="e">
        <f t="shared" si="383"/>
        <v>#REF!</v>
      </c>
      <c r="Z465" s="14" t="e">
        <f t="shared" si="384"/>
        <v>#REF!</v>
      </c>
      <c r="AA465" s="14" t="e">
        <f t="shared" si="385"/>
        <v>#REF!</v>
      </c>
    </row>
    <row r="466" spans="2:27" x14ac:dyDescent="0.2">
      <c r="B466" s="9">
        <v>43</v>
      </c>
      <c r="C466" s="9" t="s">
        <v>38</v>
      </c>
      <c r="D466" s="10" t="s">
        <v>16</v>
      </c>
      <c r="E466" s="19" t="s">
        <v>12</v>
      </c>
      <c r="F466" s="10" t="str">
        <f t="shared" si="426"/>
        <v>43MQPPREMIUM</v>
      </c>
      <c r="G466" s="14">
        <v>11.45</v>
      </c>
      <c r="H466" s="14">
        <v>11.45</v>
      </c>
      <c r="I466" s="14">
        <v>11.45</v>
      </c>
      <c r="J466" s="14">
        <v>11.45</v>
      </c>
      <c r="K466" s="14">
        <v>11.45</v>
      </c>
      <c r="M466" s="14">
        <f t="shared" si="415"/>
        <v>9.26</v>
      </c>
      <c r="O466" s="14" t="e">
        <f>#REF!</f>
        <v>#REF!</v>
      </c>
      <c r="P466" s="22" t="e">
        <f t="shared" ref="P466:S466" si="461">O466</f>
        <v>#REF!</v>
      </c>
      <c r="Q466" s="22" t="e">
        <f t="shared" si="461"/>
        <v>#REF!</v>
      </c>
      <c r="R466" s="22" t="e">
        <f t="shared" si="461"/>
        <v>#REF!</v>
      </c>
      <c r="S466" s="22" t="e">
        <f t="shared" si="461"/>
        <v>#REF!</v>
      </c>
      <c r="U466" s="14" t="e">
        <f>#REF!</f>
        <v>#REF!</v>
      </c>
      <c r="W466" s="14" t="e">
        <f t="shared" si="381"/>
        <v>#REF!</v>
      </c>
      <c r="X466" s="14" t="e">
        <f t="shared" si="382"/>
        <v>#REF!</v>
      </c>
      <c r="Y466" s="14" t="e">
        <f t="shared" si="383"/>
        <v>#REF!</v>
      </c>
      <c r="Z466" s="14" t="e">
        <f t="shared" si="384"/>
        <v>#REF!</v>
      </c>
      <c r="AA466" s="14" t="e">
        <f t="shared" si="385"/>
        <v>#REF!</v>
      </c>
    </row>
    <row r="467" spans="2:27" x14ac:dyDescent="0.2">
      <c r="B467" s="9">
        <v>44</v>
      </c>
      <c r="C467" s="9" t="s">
        <v>38</v>
      </c>
      <c r="D467" s="10" t="s">
        <v>16</v>
      </c>
      <c r="E467" s="19" t="s">
        <v>12</v>
      </c>
      <c r="F467" s="10" t="str">
        <f t="shared" si="426"/>
        <v>44MQPPREMIUM</v>
      </c>
      <c r="G467" s="14">
        <v>30.31</v>
      </c>
      <c r="H467" s="14">
        <v>30.31</v>
      </c>
      <c r="I467" s="14">
        <v>30.31</v>
      </c>
      <c r="J467" s="14">
        <v>30.31</v>
      </c>
      <c r="K467" s="14">
        <v>30.31</v>
      </c>
      <c r="M467" s="14">
        <f t="shared" si="415"/>
        <v>9.26</v>
      </c>
      <c r="O467" s="14" t="e">
        <f>#REF!</f>
        <v>#REF!</v>
      </c>
      <c r="P467" s="22" t="e">
        <f t="shared" ref="P467:S467" si="462">O467</f>
        <v>#REF!</v>
      </c>
      <c r="Q467" s="22" t="e">
        <f t="shared" si="462"/>
        <v>#REF!</v>
      </c>
      <c r="R467" s="22" t="e">
        <f t="shared" si="462"/>
        <v>#REF!</v>
      </c>
      <c r="S467" s="22" t="e">
        <f t="shared" si="462"/>
        <v>#REF!</v>
      </c>
      <c r="U467" s="14" t="e">
        <f>#REF!</f>
        <v>#REF!</v>
      </c>
      <c r="W467" s="14" t="e">
        <f t="shared" si="381"/>
        <v>#REF!</v>
      </c>
      <c r="X467" s="14" t="e">
        <f t="shared" si="382"/>
        <v>#REF!</v>
      </c>
      <c r="Y467" s="14" t="e">
        <f t="shared" si="383"/>
        <v>#REF!</v>
      </c>
      <c r="Z467" s="14" t="e">
        <f t="shared" si="384"/>
        <v>#REF!</v>
      </c>
      <c r="AA467" s="14" t="e">
        <f t="shared" si="385"/>
        <v>#REF!</v>
      </c>
    </row>
    <row r="468" spans="2:27" x14ac:dyDescent="0.2">
      <c r="B468" s="9">
        <v>45</v>
      </c>
      <c r="C468" s="9" t="s">
        <v>38</v>
      </c>
      <c r="D468" s="10" t="s">
        <v>16</v>
      </c>
      <c r="E468" s="19" t="s">
        <v>12</v>
      </c>
      <c r="F468" s="10" t="str">
        <f t="shared" si="426"/>
        <v>45MQPPREMIUM</v>
      </c>
      <c r="G468" s="14">
        <v>32.35</v>
      </c>
      <c r="H468" s="14">
        <v>32.35</v>
      </c>
      <c r="I468" s="14">
        <v>32.35</v>
      </c>
      <c r="J468" s="14">
        <v>32.35</v>
      </c>
      <c r="K468" s="14">
        <v>32.35</v>
      </c>
      <c r="M468" s="14">
        <f t="shared" si="415"/>
        <v>9.26</v>
      </c>
      <c r="O468" s="14" t="e">
        <f>#REF!</f>
        <v>#REF!</v>
      </c>
      <c r="P468" s="22" t="e">
        <f t="shared" ref="P468:S468" si="463">O468</f>
        <v>#REF!</v>
      </c>
      <c r="Q468" s="22" t="e">
        <f t="shared" si="463"/>
        <v>#REF!</v>
      </c>
      <c r="R468" s="22" t="e">
        <f t="shared" si="463"/>
        <v>#REF!</v>
      </c>
      <c r="S468" s="22" t="e">
        <f t="shared" si="463"/>
        <v>#REF!</v>
      </c>
      <c r="U468" s="14" t="e">
        <f>#REF!</f>
        <v>#REF!</v>
      </c>
      <c r="W468" s="14" t="e">
        <f t="shared" si="381"/>
        <v>#REF!</v>
      </c>
      <c r="X468" s="14" t="e">
        <f t="shared" si="382"/>
        <v>#REF!</v>
      </c>
      <c r="Y468" s="14" t="e">
        <f t="shared" si="383"/>
        <v>#REF!</v>
      </c>
      <c r="Z468" s="14" t="e">
        <f t="shared" si="384"/>
        <v>#REF!</v>
      </c>
      <c r="AA468" s="14" t="e">
        <f t="shared" si="385"/>
        <v>#REF!</v>
      </c>
    </row>
    <row r="469" spans="2:27" x14ac:dyDescent="0.2">
      <c r="B469" s="9">
        <v>51</v>
      </c>
      <c r="C469" s="9" t="s">
        <v>39</v>
      </c>
      <c r="D469" s="10" t="s">
        <v>16</v>
      </c>
      <c r="E469" s="19" t="s">
        <v>12</v>
      </c>
      <c r="F469" s="10" t="str">
        <f t="shared" si="426"/>
        <v>51MQPPREMIUM</v>
      </c>
      <c r="G469" s="18">
        <v>9.4499999999999993</v>
      </c>
      <c r="H469" s="18">
        <v>9.4499999999999993</v>
      </c>
      <c r="I469" s="18">
        <v>9.4499999999999993</v>
      </c>
      <c r="J469" s="18">
        <v>9.4499999999999993</v>
      </c>
      <c r="K469" s="18">
        <v>9.4499999999999993</v>
      </c>
      <c r="M469" s="18">
        <f t="shared" si="415"/>
        <v>9.26</v>
      </c>
      <c r="O469" s="18" t="e">
        <f>#REF!</f>
        <v>#REF!</v>
      </c>
      <c r="P469" s="22" t="e">
        <f t="shared" ref="P469:S469" si="464">O469</f>
        <v>#REF!</v>
      </c>
      <c r="Q469" s="22" t="e">
        <f t="shared" si="464"/>
        <v>#REF!</v>
      </c>
      <c r="R469" s="22" t="e">
        <f t="shared" si="464"/>
        <v>#REF!</v>
      </c>
      <c r="S469" s="22" t="e">
        <f t="shared" si="464"/>
        <v>#REF!</v>
      </c>
      <c r="U469" s="18" t="e">
        <f>#REF!</f>
        <v>#REF!</v>
      </c>
      <c r="W469" s="18" t="e">
        <f t="shared" si="381"/>
        <v>#REF!</v>
      </c>
      <c r="X469" s="18" t="e">
        <f t="shared" si="382"/>
        <v>#REF!</v>
      </c>
      <c r="Y469" s="18" t="e">
        <f t="shared" si="383"/>
        <v>#REF!</v>
      </c>
      <c r="Z469" s="18" t="e">
        <f t="shared" si="384"/>
        <v>#REF!</v>
      </c>
      <c r="AA469" s="18" t="e">
        <f t="shared" si="385"/>
        <v>#REF!</v>
      </c>
    </row>
    <row r="470" spans="2:27" x14ac:dyDescent="0.2">
      <c r="B470" s="9">
        <v>52</v>
      </c>
      <c r="C470" s="9" t="s">
        <v>39</v>
      </c>
      <c r="D470" s="10" t="s">
        <v>16</v>
      </c>
      <c r="E470" s="19" t="s">
        <v>12</v>
      </c>
      <c r="F470" s="10" t="str">
        <f t="shared" si="426"/>
        <v>52MQPPREMIUM</v>
      </c>
      <c r="G470" s="18">
        <v>10.35</v>
      </c>
      <c r="H470" s="18">
        <v>10.35</v>
      </c>
      <c r="I470" s="18">
        <v>10.35</v>
      </c>
      <c r="J470" s="18">
        <v>10.35</v>
      </c>
      <c r="K470" s="18">
        <v>10.35</v>
      </c>
      <c r="M470" s="18">
        <f t="shared" si="415"/>
        <v>9.26</v>
      </c>
      <c r="O470" s="18" t="e">
        <f>#REF!</f>
        <v>#REF!</v>
      </c>
      <c r="P470" s="22" t="e">
        <f t="shared" ref="P470:S470" si="465">O470</f>
        <v>#REF!</v>
      </c>
      <c r="Q470" s="22" t="e">
        <f t="shared" si="465"/>
        <v>#REF!</v>
      </c>
      <c r="R470" s="22" t="e">
        <f t="shared" si="465"/>
        <v>#REF!</v>
      </c>
      <c r="S470" s="22" t="e">
        <f t="shared" si="465"/>
        <v>#REF!</v>
      </c>
      <c r="U470" s="18" t="e">
        <f>#REF!</f>
        <v>#REF!</v>
      </c>
      <c r="W470" s="18" t="e">
        <f t="shared" si="381"/>
        <v>#REF!</v>
      </c>
      <c r="X470" s="18" t="e">
        <f t="shared" si="382"/>
        <v>#REF!</v>
      </c>
      <c r="Y470" s="18" t="e">
        <f t="shared" si="383"/>
        <v>#REF!</v>
      </c>
      <c r="Z470" s="18" t="e">
        <f t="shared" si="384"/>
        <v>#REF!</v>
      </c>
      <c r="AA470" s="18" t="e">
        <f t="shared" si="385"/>
        <v>#REF!</v>
      </c>
    </row>
    <row r="471" spans="2:27" x14ac:dyDescent="0.2">
      <c r="B471" s="9">
        <v>53</v>
      </c>
      <c r="C471" s="9" t="s">
        <v>39</v>
      </c>
      <c r="D471" s="10" t="s">
        <v>16</v>
      </c>
      <c r="E471" s="19" t="s">
        <v>12</v>
      </c>
      <c r="F471" s="10" t="str">
        <f t="shared" si="426"/>
        <v>53MQPPREMIUM</v>
      </c>
      <c r="G471" s="18">
        <v>11.45</v>
      </c>
      <c r="H471" s="18">
        <v>11.45</v>
      </c>
      <c r="I471" s="18">
        <v>11.45</v>
      </c>
      <c r="J471" s="18">
        <v>11.45</v>
      </c>
      <c r="K471" s="18">
        <v>11.45</v>
      </c>
      <c r="M471" s="18">
        <f t="shared" si="415"/>
        <v>9.26</v>
      </c>
      <c r="O471" s="18" t="e">
        <f>#REF!</f>
        <v>#REF!</v>
      </c>
      <c r="P471" s="22" t="e">
        <f t="shared" ref="P471:S471" si="466">O471</f>
        <v>#REF!</v>
      </c>
      <c r="Q471" s="22" t="e">
        <f t="shared" si="466"/>
        <v>#REF!</v>
      </c>
      <c r="R471" s="22" t="e">
        <f t="shared" si="466"/>
        <v>#REF!</v>
      </c>
      <c r="S471" s="22" t="e">
        <f t="shared" si="466"/>
        <v>#REF!</v>
      </c>
      <c r="U471" s="18" t="e">
        <f>#REF!</f>
        <v>#REF!</v>
      </c>
      <c r="W471" s="18" t="e">
        <f t="shared" si="381"/>
        <v>#REF!</v>
      </c>
      <c r="X471" s="18" t="e">
        <f t="shared" si="382"/>
        <v>#REF!</v>
      </c>
      <c r="Y471" s="18" t="e">
        <f t="shared" si="383"/>
        <v>#REF!</v>
      </c>
      <c r="Z471" s="18" t="e">
        <f t="shared" si="384"/>
        <v>#REF!</v>
      </c>
      <c r="AA471" s="18" t="e">
        <f t="shared" si="385"/>
        <v>#REF!</v>
      </c>
    </row>
    <row r="472" spans="2:27" x14ac:dyDescent="0.2">
      <c r="B472" s="9">
        <v>54</v>
      </c>
      <c r="C472" s="9" t="s">
        <v>39</v>
      </c>
      <c r="D472" s="10" t="s">
        <v>16</v>
      </c>
      <c r="E472" s="19" t="s">
        <v>12</v>
      </c>
      <c r="F472" s="10" t="str">
        <f t="shared" si="426"/>
        <v>54MQPPREMIUM</v>
      </c>
      <c r="G472" s="18">
        <v>12.35</v>
      </c>
      <c r="H472" s="18">
        <v>12.35</v>
      </c>
      <c r="I472" s="18">
        <v>12.35</v>
      </c>
      <c r="J472" s="18">
        <v>12.35</v>
      </c>
      <c r="K472" s="18">
        <v>12.35</v>
      </c>
      <c r="M472" s="18">
        <f t="shared" si="415"/>
        <v>9.26</v>
      </c>
      <c r="O472" s="18" t="e">
        <f>#REF!</f>
        <v>#REF!</v>
      </c>
      <c r="P472" s="22" t="e">
        <f t="shared" ref="P472:S472" si="467">O472</f>
        <v>#REF!</v>
      </c>
      <c r="Q472" s="22" t="e">
        <f t="shared" si="467"/>
        <v>#REF!</v>
      </c>
      <c r="R472" s="22" t="e">
        <f t="shared" si="467"/>
        <v>#REF!</v>
      </c>
      <c r="S472" s="22" t="e">
        <f t="shared" si="467"/>
        <v>#REF!</v>
      </c>
      <c r="U472" s="18" t="e">
        <f>#REF!</f>
        <v>#REF!</v>
      </c>
      <c r="W472" s="18" t="e">
        <f t="shared" si="381"/>
        <v>#REF!</v>
      </c>
      <c r="X472" s="18" t="e">
        <f t="shared" si="382"/>
        <v>#REF!</v>
      </c>
      <c r="Y472" s="18" t="e">
        <f t="shared" si="383"/>
        <v>#REF!</v>
      </c>
      <c r="Z472" s="18" t="e">
        <f t="shared" si="384"/>
        <v>#REF!</v>
      </c>
      <c r="AA472" s="18" t="e">
        <f t="shared" si="385"/>
        <v>#REF!</v>
      </c>
    </row>
    <row r="473" spans="2:27" x14ac:dyDescent="0.2">
      <c r="B473" s="9">
        <v>1</v>
      </c>
      <c r="C473" s="9" t="s">
        <v>36</v>
      </c>
      <c r="D473" s="10" t="s">
        <v>16</v>
      </c>
      <c r="E473" s="20" t="s">
        <v>18</v>
      </c>
      <c r="F473" s="10" t="str">
        <f t="shared" si="426"/>
        <v>1MQPECONOMY</v>
      </c>
      <c r="G473" s="11">
        <v>10.209</v>
      </c>
      <c r="H473" s="11">
        <v>10.209</v>
      </c>
      <c r="I473" s="11">
        <v>10.209</v>
      </c>
      <c r="J473" s="11">
        <v>10.209</v>
      </c>
      <c r="K473" s="11">
        <v>10.209</v>
      </c>
      <c r="M473" s="11">
        <f t="shared" si="415"/>
        <v>10.31</v>
      </c>
      <c r="O473" s="11" t="e">
        <f>#REF!</f>
        <v>#REF!</v>
      </c>
      <c r="P473" s="22" t="e">
        <f t="shared" ref="P473:S473" si="468">O473</f>
        <v>#REF!</v>
      </c>
      <c r="Q473" s="22" t="e">
        <f t="shared" si="468"/>
        <v>#REF!</v>
      </c>
      <c r="R473" s="22" t="e">
        <f t="shared" si="468"/>
        <v>#REF!</v>
      </c>
      <c r="S473" s="22" t="e">
        <f t="shared" si="468"/>
        <v>#REF!</v>
      </c>
      <c r="U473" s="11" t="e">
        <f>#REF!</f>
        <v>#REF!</v>
      </c>
      <c r="W473" s="11" t="e">
        <f t="shared" si="381"/>
        <v>#REF!</v>
      </c>
      <c r="X473" s="11" t="e">
        <f t="shared" si="382"/>
        <v>#REF!</v>
      </c>
      <c r="Y473" s="11" t="e">
        <f t="shared" si="383"/>
        <v>#REF!</v>
      </c>
      <c r="Z473" s="11" t="e">
        <f t="shared" si="384"/>
        <v>#REF!</v>
      </c>
      <c r="AA473" s="11" t="e">
        <f t="shared" si="385"/>
        <v>#REF!</v>
      </c>
    </row>
    <row r="474" spans="2:27" x14ac:dyDescent="0.2">
      <c r="B474" s="9">
        <v>2</v>
      </c>
      <c r="C474" s="9" t="s">
        <v>36</v>
      </c>
      <c r="D474" s="10" t="s">
        <v>16</v>
      </c>
      <c r="E474" s="20" t="s">
        <v>18</v>
      </c>
      <c r="F474" s="10" t="str">
        <f t="shared" si="426"/>
        <v>2MQPECONOMY</v>
      </c>
      <c r="G474" s="11">
        <v>11.356999999999999</v>
      </c>
      <c r="H474" s="11">
        <v>11.356999999999999</v>
      </c>
      <c r="I474" s="11">
        <v>11.356999999999999</v>
      </c>
      <c r="J474" s="11">
        <v>11.356999999999999</v>
      </c>
      <c r="K474" s="11">
        <v>11.356999999999999</v>
      </c>
      <c r="M474" s="11">
        <f t="shared" si="415"/>
        <v>10.31</v>
      </c>
      <c r="O474" s="11" t="e">
        <f>#REF!</f>
        <v>#REF!</v>
      </c>
      <c r="P474" s="22" t="e">
        <f t="shared" ref="P474:S474" si="469">O474</f>
        <v>#REF!</v>
      </c>
      <c r="Q474" s="22" t="e">
        <f t="shared" si="469"/>
        <v>#REF!</v>
      </c>
      <c r="R474" s="22" t="e">
        <f t="shared" si="469"/>
        <v>#REF!</v>
      </c>
      <c r="S474" s="22" t="e">
        <f t="shared" si="469"/>
        <v>#REF!</v>
      </c>
      <c r="U474" s="11" t="e">
        <f>#REF!</f>
        <v>#REF!</v>
      </c>
      <c r="W474" s="11" t="e">
        <f t="shared" si="381"/>
        <v>#REF!</v>
      </c>
      <c r="X474" s="11" t="e">
        <f t="shared" si="382"/>
        <v>#REF!</v>
      </c>
      <c r="Y474" s="11" t="e">
        <f t="shared" si="383"/>
        <v>#REF!</v>
      </c>
      <c r="Z474" s="11" t="e">
        <f t="shared" si="384"/>
        <v>#REF!</v>
      </c>
      <c r="AA474" s="11" t="e">
        <f t="shared" si="385"/>
        <v>#REF!</v>
      </c>
    </row>
    <row r="475" spans="2:27" x14ac:dyDescent="0.2">
      <c r="B475" s="9">
        <v>3</v>
      </c>
      <c r="C475" s="9" t="s">
        <v>36</v>
      </c>
      <c r="D475" s="10" t="s">
        <v>16</v>
      </c>
      <c r="E475" s="20" t="s">
        <v>18</v>
      </c>
      <c r="F475" s="10" t="str">
        <f t="shared" si="426"/>
        <v>3MQPECONOMY</v>
      </c>
      <c r="G475" s="11">
        <v>12.586999999999998</v>
      </c>
      <c r="H475" s="11">
        <v>12.586999999999998</v>
      </c>
      <c r="I475" s="11">
        <v>12.586999999999998</v>
      </c>
      <c r="J475" s="11">
        <v>12.586999999999998</v>
      </c>
      <c r="K475" s="11">
        <v>12.586999999999998</v>
      </c>
      <c r="M475" s="11">
        <f t="shared" si="415"/>
        <v>10.31</v>
      </c>
      <c r="O475" s="11" t="e">
        <f>#REF!</f>
        <v>#REF!</v>
      </c>
      <c r="P475" s="22" t="e">
        <f t="shared" ref="P475:S475" si="470">O475</f>
        <v>#REF!</v>
      </c>
      <c r="Q475" s="22" t="e">
        <f t="shared" si="470"/>
        <v>#REF!</v>
      </c>
      <c r="R475" s="22" t="e">
        <f t="shared" si="470"/>
        <v>#REF!</v>
      </c>
      <c r="S475" s="22" t="e">
        <f t="shared" si="470"/>
        <v>#REF!</v>
      </c>
      <c r="U475" s="11" t="e">
        <f>#REF!</f>
        <v>#REF!</v>
      </c>
      <c r="W475" s="11" t="e">
        <f t="shared" si="381"/>
        <v>#REF!</v>
      </c>
      <c r="X475" s="11" t="e">
        <f t="shared" si="382"/>
        <v>#REF!</v>
      </c>
      <c r="Y475" s="11" t="e">
        <f t="shared" si="383"/>
        <v>#REF!</v>
      </c>
      <c r="Z475" s="11" t="e">
        <f t="shared" si="384"/>
        <v>#REF!</v>
      </c>
      <c r="AA475" s="11" t="e">
        <f t="shared" si="385"/>
        <v>#REF!</v>
      </c>
    </row>
    <row r="476" spans="2:27" x14ac:dyDescent="0.2">
      <c r="B476" s="9">
        <v>4</v>
      </c>
      <c r="C476" s="9" t="s">
        <v>36</v>
      </c>
      <c r="D476" s="10" t="s">
        <v>16</v>
      </c>
      <c r="E476" s="20" t="s">
        <v>18</v>
      </c>
      <c r="F476" s="10" t="str">
        <f t="shared" si="426"/>
        <v>4MQPECONOMY</v>
      </c>
      <c r="G476" s="11">
        <v>16.051499999999997</v>
      </c>
      <c r="H476" s="11">
        <v>16.051499999999997</v>
      </c>
      <c r="I476" s="11">
        <v>16.051499999999997</v>
      </c>
      <c r="J476" s="11">
        <v>16.051499999999997</v>
      </c>
      <c r="K476" s="11">
        <v>16.051499999999997</v>
      </c>
      <c r="M476" s="11">
        <f t="shared" si="415"/>
        <v>10.31</v>
      </c>
      <c r="O476" s="11" t="e">
        <f>#REF!</f>
        <v>#REF!</v>
      </c>
      <c r="P476" s="22" t="e">
        <f t="shared" ref="P476:S476" si="471">O476</f>
        <v>#REF!</v>
      </c>
      <c r="Q476" s="22" t="e">
        <f t="shared" si="471"/>
        <v>#REF!</v>
      </c>
      <c r="R476" s="22" t="e">
        <f t="shared" si="471"/>
        <v>#REF!</v>
      </c>
      <c r="S476" s="22" t="e">
        <f t="shared" si="471"/>
        <v>#REF!</v>
      </c>
      <c r="U476" s="11" t="e">
        <f>#REF!</f>
        <v>#REF!</v>
      </c>
      <c r="W476" s="11" t="e">
        <f t="shared" ref="W476:W508" si="472">G476+$M476+O476+$U476</f>
        <v>#REF!</v>
      </c>
      <c r="X476" s="11" t="e">
        <f t="shared" ref="X476:X508" si="473">H476+$M476+P476+$U476</f>
        <v>#REF!</v>
      </c>
      <c r="Y476" s="11" t="e">
        <f t="shared" ref="Y476:Y508" si="474">I476+$M476+Q476+$U476</f>
        <v>#REF!</v>
      </c>
      <c r="Z476" s="11" t="e">
        <f t="shared" ref="Z476:Z508" si="475">J476+$M476+R476+$U476</f>
        <v>#REF!</v>
      </c>
      <c r="AA476" s="11" t="e">
        <f t="shared" ref="AA476:AA508" si="476">K476+$M476+S476+$U476</f>
        <v>#REF!</v>
      </c>
    </row>
    <row r="477" spans="2:27" x14ac:dyDescent="0.2">
      <c r="B477" s="9">
        <v>5</v>
      </c>
      <c r="C477" s="9" t="s">
        <v>36</v>
      </c>
      <c r="D477" s="10" t="s">
        <v>16</v>
      </c>
      <c r="E477" s="20" t="s">
        <v>18</v>
      </c>
      <c r="F477" s="10" t="str">
        <f t="shared" si="426"/>
        <v>5MQPECONOMY</v>
      </c>
      <c r="G477" s="11">
        <v>17.517249999999997</v>
      </c>
      <c r="H477" s="11">
        <v>17.517249999999997</v>
      </c>
      <c r="I477" s="11">
        <v>17.517249999999997</v>
      </c>
      <c r="J477" s="11">
        <v>17.517249999999997</v>
      </c>
      <c r="K477" s="11">
        <v>17.517249999999997</v>
      </c>
      <c r="M477" s="11">
        <f t="shared" si="415"/>
        <v>10.31</v>
      </c>
      <c r="O477" s="11" t="e">
        <f>#REF!</f>
        <v>#REF!</v>
      </c>
      <c r="P477" s="22" t="e">
        <f t="shared" ref="P477:S477" si="477">O477</f>
        <v>#REF!</v>
      </c>
      <c r="Q477" s="22" t="e">
        <f t="shared" si="477"/>
        <v>#REF!</v>
      </c>
      <c r="R477" s="22" t="e">
        <f t="shared" si="477"/>
        <v>#REF!</v>
      </c>
      <c r="S477" s="22" t="e">
        <f t="shared" si="477"/>
        <v>#REF!</v>
      </c>
      <c r="U477" s="11" t="e">
        <f>#REF!</f>
        <v>#REF!</v>
      </c>
      <c r="W477" s="11" t="e">
        <f t="shared" si="472"/>
        <v>#REF!</v>
      </c>
      <c r="X477" s="11" t="e">
        <f t="shared" si="473"/>
        <v>#REF!</v>
      </c>
      <c r="Y477" s="11" t="e">
        <f t="shared" si="474"/>
        <v>#REF!</v>
      </c>
      <c r="Z477" s="11" t="e">
        <f t="shared" si="475"/>
        <v>#REF!</v>
      </c>
      <c r="AA477" s="11" t="e">
        <f t="shared" si="476"/>
        <v>#REF!</v>
      </c>
    </row>
    <row r="478" spans="2:27" x14ac:dyDescent="0.2">
      <c r="B478" s="9">
        <v>6</v>
      </c>
      <c r="C478" s="9" t="s">
        <v>36</v>
      </c>
      <c r="D478" s="10" t="s">
        <v>16</v>
      </c>
      <c r="E478" s="20" t="s">
        <v>18</v>
      </c>
      <c r="F478" s="10" t="str">
        <f t="shared" si="426"/>
        <v>6MQPECONOMY</v>
      </c>
      <c r="G478" s="11">
        <v>18.111750000000001</v>
      </c>
      <c r="H478" s="11">
        <v>18.111750000000001</v>
      </c>
      <c r="I478" s="11">
        <v>18.111750000000001</v>
      </c>
      <c r="J478" s="11">
        <v>18.111750000000001</v>
      </c>
      <c r="K478" s="11">
        <v>18.111750000000001</v>
      </c>
      <c r="M478" s="11">
        <f t="shared" si="415"/>
        <v>10.31</v>
      </c>
      <c r="O478" s="11" t="e">
        <f>#REF!</f>
        <v>#REF!</v>
      </c>
      <c r="P478" s="22" t="e">
        <f t="shared" ref="P478:S478" si="478">O478</f>
        <v>#REF!</v>
      </c>
      <c r="Q478" s="22" t="e">
        <f t="shared" si="478"/>
        <v>#REF!</v>
      </c>
      <c r="R478" s="22" t="e">
        <f t="shared" si="478"/>
        <v>#REF!</v>
      </c>
      <c r="S478" s="22" t="e">
        <f t="shared" si="478"/>
        <v>#REF!</v>
      </c>
      <c r="U478" s="11" t="e">
        <f>#REF!</f>
        <v>#REF!</v>
      </c>
      <c r="W478" s="11" t="e">
        <f t="shared" si="472"/>
        <v>#REF!</v>
      </c>
      <c r="X478" s="11" t="e">
        <f t="shared" si="473"/>
        <v>#REF!</v>
      </c>
      <c r="Y478" s="11" t="e">
        <f t="shared" si="474"/>
        <v>#REF!</v>
      </c>
      <c r="Z478" s="11" t="e">
        <f t="shared" si="475"/>
        <v>#REF!</v>
      </c>
      <c r="AA478" s="11" t="e">
        <f t="shared" si="476"/>
        <v>#REF!</v>
      </c>
    </row>
    <row r="479" spans="2:27" x14ac:dyDescent="0.2">
      <c r="B479" s="9">
        <v>7</v>
      </c>
      <c r="C479" s="9" t="s">
        <v>36</v>
      </c>
      <c r="D479" s="10" t="s">
        <v>16</v>
      </c>
      <c r="E479" s="20" t="s">
        <v>18</v>
      </c>
      <c r="F479" s="10" t="str">
        <f t="shared" si="426"/>
        <v>7MQPECONOMY</v>
      </c>
      <c r="G479" s="11">
        <v>18.921499999999998</v>
      </c>
      <c r="H479" s="11">
        <v>18.921499999999998</v>
      </c>
      <c r="I479" s="11">
        <v>18.921499999999998</v>
      </c>
      <c r="J479" s="11">
        <v>18.921499999999998</v>
      </c>
      <c r="K479" s="11">
        <v>18.921499999999998</v>
      </c>
      <c r="M479" s="11">
        <f t="shared" si="415"/>
        <v>10.31</v>
      </c>
      <c r="O479" s="11" t="e">
        <f>#REF!</f>
        <v>#REF!</v>
      </c>
      <c r="P479" s="22" t="e">
        <f t="shared" ref="P479:S479" si="479">O479</f>
        <v>#REF!</v>
      </c>
      <c r="Q479" s="22" t="e">
        <f t="shared" si="479"/>
        <v>#REF!</v>
      </c>
      <c r="R479" s="22" t="e">
        <f t="shared" si="479"/>
        <v>#REF!</v>
      </c>
      <c r="S479" s="22" t="e">
        <f t="shared" si="479"/>
        <v>#REF!</v>
      </c>
      <c r="U479" s="11" t="e">
        <f>#REF!</f>
        <v>#REF!</v>
      </c>
      <c r="W479" s="11" t="e">
        <f t="shared" si="472"/>
        <v>#REF!</v>
      </c>
      <c r="X479" s="11" t="e">
        <f t="shared" si="473"/>
        <v>#REF!</v>
      </c>
      <c r="Y479" s="11" t="e">
        <f t="shared" si="474"/>
        <v>#REF!</v>
      </c>
      <c r="Z479" s="11" t="e">
        <f t="shared" si="475"/>
        <v>#REF!</v>
      </c>
      <c r="AA479" s="11" t="e">
        <f t="shared" si="476"/>
        <v>#REF!</v>
      </c>
    </row>
    <row r="480" spans="2:27" x14ac:dyDescent="0.2">
      <c r="B480" s="9">
        <v>8</v>
      </c>
      <c r="C480" s="9" t="s">
        <v>36</v>
      </c>
      <c r="D480" s="10" t="s">
        <v>16</v>
      </c>
      <c r="E480" s="20" t="s">
        <v>18</v>
      </c>
      <c r="F480" s="10" t="str">
        <f t="shared" si="426"/>
        <v>8MQPECONOMY</v>
      </c>
      <c r="G480" s="11">
        <v>25.296999999999997</v>
      </c>
      <c r="H480" s="11">
        <v>25.296999999999997</v>
      </c>
      <c r="I480" s="11">
        <v>25.296999999999997</v>
      </c>
      <c r="J480" s="11">
        <v>25.296999999999997</v>
      </c>
      <c r="K480" s="11">
        <v>25.296999999999997</v>
      </c>
      <c r="M480" s="11">
        <f t="shared" si="415"/>
        <v>10.31</v>
      </c>
      <c r="O480" s="11" t="e">
        <f>#REF!</f>
        <v>#REF!</v>
      </c>
      <c r="P480" s="22" t="e">
        <f t="shared" ref="P480:S480" si="480">O480</f>
        <v>#REF!</v>
      </c>
      <c r="Q480" s="22" t="e">
        <f t="shared" si="480"/>
        <v>#REF!</v>
      </c>
      <c r="R480" s="22" t="e">
        <f t="shared" si="480"/>
        <v>#REF!</v>
      </c>
      <c r="S480" s="22" t="e">
        <f t="shared" si="480"/>
        <v>#REF!</v>
      </c>
      <c r="U480" s="11" t="e">
        <f>#REF!</f>
        <v>#REF!</v>
      </c>
      <c r="W480" s="11" t="e">
        <f t="shared" si="472"/>
        <v>#REF!</v>
      </c>
      <c r="X480" s="11" t="e">
        <f t="shared" si="473"/>
        <v>#REF!</v>
      </c>
      <c r="Y480" s="11" t="e">
        <f t="shared" si="474"/>
        <v>#REF!</v>
      </c>
      <c r="Z480" s="11" t="e">
        <f t="shared" si="475"/>
        <v>#REF!</v>
      </c>
      <c r="AA480" s="11" t="e">
        <f t="shared" si="476"/>
        <v>#REF!</v>
      </c>
    </row>
    <row r="481" spans="2:27" x14ac:dyDescent="0.2">
      <c r="B481" s="9">
        <v>9</v>
      </c>
      <c r="C481" s="9" t="s">
        <v>36</v>
      </c>
      <c r="D481" s="10" t="s">
        <v>16</v>
      </c>
      <c r="E481" s="20" t="s">
        <v>18</v>
      </c>
      <c r="F481" s="10" t="str">
        <f t="shared" si="426"/>
        <v>9MQPECONOMY</v>
      </c>
      <c r="G481" s="11">
        <v>43.675249999999998</v>
      </c>
      <c r="H481" s="11">
        <v>43.675249999999998</v>
      </c>
      <c r="I481" s="11">
        <v>43.675249999999998</v>
      </c>
      <c r="J481" s="11">
        <v>43.675249999999998</v>
      </c>
      <c r="K481" s="11">
        <v>43.675249999999998</v>
      </c>
      <c r="M481" s="11">
        <f t="shared" si="415"/>
        <v>10.31</v>
      </c>
      <c r="O481" s="11" t="e">
        <f>#REF!</f>
        <v>#REF!</v>
      </c>
      <c r="P481" s="22" t="e">
        <f t="shared" ref="P481:S481" si="481">O481</f>
        <v>#REF!</v>
      </c>
      <c r="Q481" s="22" t="e">
        <f t="shared" si="481"/>
        <v>#REF!</v>
      </c>
      <c r="R481" s="22" t="e">
        <f t="shared" si="481"/>
        <v>#REF!</v>
      </c>
      <c r="S481" s="22" t="e">
        <f t="shared" si="481"/>
        <v>#REF!</v>
      </c>
      <c r="U481" s="11" t="e">
        <f>#REF!</f>
        <v>#REF!</v>
      </c>
      <c r="W481" s="11" t="e">
        <f t="shared" si="472"/>
        <v>#REF!</v>
      </c>
      <c r="X481" s="11" t="e">
        <f t="shared" si="473"/>
        <v>#REF!</v>
      </c>
      <c r="Y481" s="11" t="e">
        <f t="shared" si="474"/>
        <v>#REF!</v>
      </c>
      <c r="Z481" s="11" t="e">
        <f t="shared" si="475"/>
        <v>#REF!</v>
      </c>
      <c r="AA481" s="11" t="e">
        <f t="shared" si="476"/>
        <v>#REF!</v>
      </c>
    </row>
    <row r="482" spans="2:27" x14ac:dyDescent="0.2">
      <c r="B482" s="9">
        <v>10</v>
      </c>
      <c r="C482" s="9" t="s">
        <v>36</v>
      </c>
      <c r="D482" s="10" t="s">
        <v>16</v>
      </c>
      <c r="E482" s="20" t="s">
        <v>18</v>
      </c>
      <c r="F482" s="10" t="str">
        <f t="shared" si="426"/>
        <v>10MQPECONOMY</v>
      </c>
      <c r="G482" s="11">
        <v>45.305</v>
      </c>
      <c r="H482" s="11">
        <v>45.305</v>
      </c>
      <c r="I482" s="11">
        <v>45.305</v>
      </c>
      <c r="J482" s="11">
        <v>45.305</v>
      </c>
      <c r="K482" s="11">
        <v>45.305</v>
      </c>
      <c r="M482" s="11">
        <f t="shared" si="415"/>
        <v>10.31</v>
      </c>
      <c r="O482" s="11" t="e">
        <f>#REF!</f>
        <v>#REF!</v>
      </c>
      <c r="P482" s="22" t="e">
        <f t="shared" ref="P482:S482" si="482">O482</f>
        <v>#REF!</v>
      </c>
      <c r="Q482" s="22" t="e">
        <f t="shared" si="482"/>
        <v>#REF!</v>
      </c>
      <c r="R482" s="22" t="e">
        <f t="shared" si="482"/>
        <v>#REF!</v>
      </c>
      <c r="S482" s="22" t="e">
        <f t="shared" si="482"/>
        <v>#REF!</v>
      </c>
      <c r="U482" s="11" t="e">
        <f>#REF!</f>
        <v>#REF!</v>
      </c>
      <c r="W482" s="11" t="e">
        <f t="shared" si="472"/>
        <v>#REF!</v>
      </c>
      <c r="X482" s="11" t="e">
        <f t="shared" si="473"/>
        <v>#REF!</v>
      </c>
      <c r="Y482" s="11" t="e">
        <f t="shared" si="474"/>
        <v>#REF!</v>
      </c>
      <c r="Z482" s="11" t="e">
        <f t="shared" si="475"/>
        <v>#REF!</v>
      </c>
      <c r="AA482" s="11" t="e">
        <f t="shared" si="476"/>
        <v>#REF!</v>
      </c>
    </row>
    <row r="483" spans="2:27" x14ac:dyDescent="0.2">
      <c r="B483" s="9">
        <v>11</v>
      </c>
      <c r="C483" s="9" t="s">
        <v>36</v>
      </c>
      <c r="D483" s="10" t="s">
        <v>16</v>
      </c>
      <c r="E483" s="20" t="s">
        <v>18</v>
      </c>
      <c r="F483" s="10" t="str">
        <f t="shared" si="426"/>
        <v>11MQPECONOMY</v>
      </c>
      <c r="G483" s="11">
        <v>48.564499999999995</v>
      </c>
      <c r="H483" s="11">
        <v>48.564499999999995</v>
      </c>
      <c r="I483" s="11">
        <v>48.564499999999995</v>
      </c>
      <c r="J483" s="11">
        <v>48.564499999999995</v>
      </c>
      <c r="K483" s="11">
        <v>48.564499999999995</v>
      </c>
      <c r="M483" s="11">
        <f t="shared" si="415"/>
        <v>10.31</v>
      </c>
      <c r="O483" s="11" t="e">
        <f>#REF!</f>
        <v>#REF!</v>
      </c>
      <c r="P483" s="22" t="e">
        <f t="shared" ref="P483:S483" si="483">O483</f>
        <v>#REF!</v>
      </c>
      <c r="Q483" s="22" t="e">
        <f t="shared" si="483"/>
        <v>#REF!</v>
      </c>
      <c r="R483" s="22" t="e">
        <f t="shared" si="483"/>
        <v>#REF!</v>
      </c>
      <c r="S483" s="22" t="e">
        <f t="shared" si="483"/>
        <v>#REF!</v>
      </c>
      <c r="U483" s="11" t="e">
        <f>#REF!</f>
        <v>#REF!</v>
      </c>
      <c r="W483" s="11" t="e">
        <f t="shared" si="472"/>
        <v>#REF!</v>
      </c>
      <c r="X483" s="11" t="e">
        <f t="shared" si="473"/>
        <v>#REF!</v>
      </c>
      <c r="Y483" s="11" t="e">
        <f t="shared" si="474"/>
        <v>#REF!</v>
      </c>
      <c r="Z483" s="11" t="e">
        <f t="shared" si="475"/>
        <v>#REF!</v>
      </c>
      <c r="AA483" s="11" t="e">
        <f t="shared" si="476"/>
        <v>#REF!</v>
      </c>
    </row>
    <row r="484" spans="2:27" x14ac:dyDescent="0.2">
      <c r="B484" s="9">
        <v>12</v>
      </c>
      <c r="C484" s="9" t="s">
        <v>36</v>
      </c>
      <c r="D484" s="10" t="s">
        <v>16</v>
      </c>
      <c r="E484" s="20" t="s">
        <v>18</v>
      </c>
      <c r="F484" s="10" t="str">
        <f t="shared" si="426"/>
        <v>12MQPECONOMY</v>
      </c>
      <c r="G484" s="11">
        <v>86.632999999999981</v>
      </c>
      <c r="H484" s="11">
        <v>86.632999999999981</v>
      </c>
      <c r="I484" s="11">
        <v>86.632999999999981</v>
      </c>
      <c r="J484" s="11">
        <v>86.632999999999981</v>
      </c>
      <c r="K484" s="11">
        <v>86.632999999999981</v>
      </c>
      <c r="M484" s="11">
        <f t="shared" si="415"/>
        <v>10.31</v>
      </c>
      <c r="O484" s="11" t="e">
        <f>#REF!</f>
        <v>#REF!</v>
      </c>
      <c r="P484" s="22" t="e">
        <f t="shared" ref="P484:S484" si="484">O484</f>
        <v>#REF!</v>
      </c>
      <c r="Q484" s="22" t="e">
        <f t="shared" si="484"/>
        <v>#REF!</v>
      </c>
      <c r="R484" s="22" t="e">
        <f t="shared" si="484"/>
        <v>#REF!</v>
      </c>
      <c r="S484" s="22" t="e">
        <f t="shared" si="484"/>
        <v>#REF!</v>
      </c>
      <c r="U484" s="11" t="e">
        <f>#REF!</f>
        <v>#REF!</v>
      </c>
      <c r="W484" s="11" t="e">
        <f t="shared" si="472"/>
        <v>#REF!</v>
      </c>
      <c r="X484" s="11" t="e">
        <f t="shared" si="473"/>
        <v>#REF!</v>
      </c>
      <c r="Y484" s="11" t="e">
        <f t="shared" si="474"/>
        <v>#REF!</v>
      </c>
      <c r="Z484" s="11" t="e">
        <f t="shared" si="475"/>
        <v>#REF!</v>
      </c>
      <c r="AA484" s="11" t="e">
        <f t="shared" si="476"/>
        <v>#REF!</v>
      </c>
    </row>
    <row r="485" spans="2:27" x14ac:dyDescent="0.2">
      <c r="B485" s="9">
        <v>13</v>
      </c>
      <c r="C485" s="9" t="s">
        <v>36</v>
      </c>
      <c r="D485" s="10" t="s">
        <v>16</v>
      </c>
      <c r="E485" s="20" t="s">
        <v>18</v>
      </c>
      <c r="F485" s="10" t="str">
        <f t="shared" ref="F485:F487" si="485">B485&amp;D485&amp;E485</f>
        <v>13MQPECONOMY</v>
      </c>
      <c r="G485" s="11">
        <v>104.55</v>
      </c>
      <c r="H485" s="11">
        <v>104.55</v>
      </c>
      <c r="I485" s="11">
        <v>104.55</v>
      </c>
      <c r="J485" s="11">
        <v>104.55</v>
      </c>
      <c r="K485" s="11">
        <v>104.55</v>
      </c>
      <c r="M485" s="11">
        <f t="shared" si="415"/>
        <v>10.31</v>
      </c>
      <c r="O485" s="11" t="e">
        <f>#REF!</f>
        <v>#REF!</v>
      </c>
      <c r="P485" s="22" t="e">
        <f t="shared" ref="P485:P486" si="486">O485</f>
        <v>#REF!</v>
      </c>
      <c r="Q485" s="22" t="e">
        <f t="shared" ref="Q485:Q486" si="487">P485</f>
        <v>#REF!</v>
      </c>
      <c r="R485" s="22" t="e">
        <f t="shared" ref="R485:R486" si="488">Q485</f>
        <v>#REF!</v>
      </c>
      <c r="S485" s="22" t="e">
        <f t="shared" ref="S485:S486" si="489">R485</f>
        <v>#REF!</v>
      </c>
      <c r="U485" s="11" t="e">
        <f>#REF!</f>
        <v>#REF!</v>
      </c>
      <c r="W485" s="11" t="e">
        <f t="shared" ref="W485:W486" si="490">G485+$M485+O485+$U485</f>
        <v>#REF!</v>
      </c>
      <c r="X485" s="11" t="e">
        <f t="shared" ref="X485:X486" si="491">H485+$M485+P485+$U485</f>
        <v>#REF!</v>
      </c>
      <c r="Y485" s="11" t="e">
        <f t="shared" ref="Y485:Y486" si="492">I485+$M485+Q485+$U485</f>
        <v>#REF!</v>
      </c>
      <c r="Z485" s="11" t="e">
        <f t="shared" ref="Z485:Z486" si="493">J485+$M485+R485+$U485</f>
        <v>#REF!</v>
      </c>
      <c r="AA485" s="11" t="e">
        <f t="shared" ref="AA485:AA486" si="494">K485+$M485+S485+$U485</f>
        <v>#REF!</v>
      </c>
    </row>
    <row r="486" spans="2:27" x14ac:dyDescent="0.2">
      <c r="B486" s="9">
        <v>14</v>
      </c>
      <c r="C486" s="9" t="s">
        <v>36</v>
      </c>
      <c r="D486" s="10" t="s">
        <v>16</v>
      </c>
      <c r="E486" s="20" t="s">
        <v>18</v>
      </c>
      <c r="F486" s="10" t="str">
        <f t="shared" si="485"/>
        <v>14MQPECONOMY</v>
      </c>
      <c r="G486" s="11">
        <v>109.675</v>
      </c>
      <c r="H486" s="11">
        <v>109.675</v>
      </c>
      <c r="I486" s="11">
        <v>109.675</v>
      </c>
      <c r="J486" s="11">
        <v>109.675</v>
      </c>
      <c r="K486" s="11">
        <v>109.675</v>
      </c>
      <c r="M486" s="11">
        <f t="shared" si="415"/>
        <v>10.31</v>
      </c>
      <c r="O486" s="11" t="e">
        <f>#REF!</f>
        <v>#REF!</v>
      </c>
      <c r="P486" s="22" t="e">
        <f t="shared" si="486"/>
        <v>#REF!</v>
      </c>
      <c r="Q486" s="22" t="e">
        <f t="shared" si="487"/>
        <v>#REF!</v>
      </c>
      <c r="R486" s="22" t="e">
        <f t="shared" si="488"/>
        <v>#REF!</v>
      </c>
      <c r="S486" s="22" t="e">
        <f t="shared" si="489"/>
        <v>#REF!</v>
      </c>
      <c r="U486" s="11" t="e">
        <f>#REF!</f>
        <v>#REF!</v>
      </c>
      <c r="W486" s="11" t="e">
        <f t="shared" si="490"/>
        <v>#REF!</v>
      </c>
      <c r="X486" s="11" t="e">
        <f t="shared" si="491"/>
        <v>#REF!</v>
      </c>
      <c r="Y486" s="11" t="e">
        <f t="shared" si="492"/>
        <v>#REF!</v>
      </c>
      <c r="Z486" s="11" t="e">
        <f t="shared" si="493"/>
        <v>#REF!</v>
      </c>
      <c r="AA486" s="11" t="e">
        <f t="shared" si="494"/>
        <v>#REF!</v>
      </c>
    </row>
    <row r="487" spans="2:27" x14ac:dyDescent="0.2">
      <c r="B487" s="9">
        <v>21</v>
      </c>
      <c r="C487" s="9" t="s">
        <v>37</v>
      </c>
      <c r="D487" s="10" t="s">
        <v>16</v>
      </c>
      <c r="E487" s="20" t="s">
        <v>18</v>
      </c>
      <c r="F487" s="10" t="str">
        <f t="shared" si="485"/>
        <v>21MQPECONOMY</v>
      </c>
      <c r="G487" s="12">
        <v>7.9334999999999996</v>
      </c>
      <c r="H487" s="12">
        <v>7.9334999999999996</v>
      </c>
      <c r="I487" s="12">
        <v>7.9334999999999996</v>
      </c>
      <c r="J487" s="12">
        <v>7.9334999999999996</v>
      </c>
      <c r="K487" s="12">
        <v>7.9334999999999996</v>
      </c>
      <c r="M487" s="12">
        <f t="shared" si="415"/>
        <v>10.210000000000001</v>
      </c>
      <c r="O487" s="12" t="e">
        <f>#REF!</f>
        <v>#REF!</v>
      </c>
      <c r="P487" s="22" t="e">
        <f t="shared" ref="P487:S487" si="495">O487</f>
        <v>#REF!</v>
      </c>
      <c r="Q487" s="22" t="e">
        <f t="shared" si="495"/>
        <v>#REF!</v>
      </c>
      <c r="R487" s="22" t="e">
        <f t="shared" si="495"/>
        <v>#REF!</v>
      </c>
      <c r="S487" s="22" t="e">
        <f t="shared" si="495"/>
        <v>#REF!</v>
      </c>
      <c r="U487" s="12" t="e">
        <f>#REF!</f>
        <v>#REF!</v>
      </c>
      <c r="W487" s="12" t="e">
        <f t="shared" si="472"/>
        <v>#REF!</v>
      </c>
      <c r="X487" s="12" t="e">
        <f t="shared" si="473"/>
        <v>#REF!</v>
      </c>
      <c r="Y487" s="12" t="e">
        <f t="shared" si="474"/>
        <v>#REF!</v>
      </c>
      <c r="Z487" s="12" t="e">
        <f t="shared" si="475"/>
        <v>#REF!</v>
      </c>
      <c r="AA487" s="12" t="e">
        <f t="shared" si="476"/>
        <v>#REF!</v>
      </c>
    </row>
    <row r="488" spans="2:27" x14ac:dyDescent="0.2">
      <c r="B488" s="9">
        <v>22</v>
      </c>
      <c r="C488" s="9" t="s">
        <v>37</v>
      </c>
      <c r="D488" s="10" t="s">
        <v>16</v>
      </c>
      <c r="E488" s="20" t="s">
        <v>18</v>
      </c>
      <c r="F488" s="10" t="str">
        <f t="shared" si="426"/>
        <v>22MQPECONOMY</v>
      </c>
      <c r="G488" s="12">
        <v>9.255749999999999</v>
      </c>
      <c r="H488" s="12">
        <v>9.255749999999999</v>
      </c>
      <c r="I488" s="12">
        <v>9.255749999999999</v>
      </c>
      <c r="J488" s="12">
        <v>9.255749999999999</v>
      </c>
      <c r="K488" s="12">
        <v>9.255749999999999</v>
      </c>
      <c r="M488" s="12">
        <f t="shared" si="415"/>
        <v>10.210000000000001</v>
      </c>
      <c r="O488" s="12" t="e">
        <f>#REF!</f>
        <v>#REF!</v>
      </c>
      <c r="P488" s="22" t="e">
        <f t="shared" ref="P488:S488" si="496">O488</f>
        <v>#REF!</v>
      </c>
      <c r="Q488" s="22" t="e">
        <f t="shared" si="496"/>
        <v>#REF!</v>
      </c>
      <c r="R488" s="22" t="e">
        <f t="shared" si="496"/>
        <v>#REF!</v>
      </c>
      <c r="S488" s="22" t="e">
        <f t="shared" si="496"/>
        <v>#REF!</v>
      </c>
      <c r="U488" s="12" t="e">
        <f>#REF!</f>
        <v>#REF!</v>
      </c>
      <c r="W488" s="12" t="e">
        <f t="shared" si="472"/>
        <v>#REF!</v>
      </c>
      <c r="X488" s="12" t="e">
        <f t="shared" si="473"/>
        <v>#REF!</v>
      </c>
      <c r="Y488" s="12" t="e">
        <f t="shared" si="474"/>
        <v>#REF!</v>
      </c>
      <c r="Z488" s="12" t="e">
        <f t="shared" si="475"/>
        <v>#REF!</v>
      </c>
      <c r="AA488" s="12" t="e">
        <f t="shared" si="476"/>
        <v>#REF!</v>
      </c>
    </row>
    <row r="489" spans="2:27" x14ac:dyDescent="0.2">
      <c r="B489" s="9">
        <v>23</v>
      </c>
      <c r="C489" s="9" t="s">
        <v>37</v>
      </c>
      <c r="D489" s="10" t="s">
        <v>16</v>
      </c>
      <c r="E489" s="20" t="s">
        <v>18</v>
      </c>
      <c r="F489" s="10" t="str">
        <f t="shared" si="426"/>
        <v>23MQPECONOMY</v>
      </c>
      <c r="G489" s="12">
        <v>10.311499999999999</v>
      </c>
      <c r="H489" s="12">
        <v>10.311499999999999</v>
      </c>
      <c r="I489" s="12">
        <v>10.311499999999999</v>
      </c>
      <c r="J489" s="12">
        <v>10.311499999999999</v>
      </c>
      <c r="K489" s="12">
        <v>10.311499999999999</v>
      </c>
      <c r="M489" s="12">
        <f t="shared" si="415"/>
        <v>10.210000000000001</v>
      </c>
      <c r="O489" s="12" t="e">
        <f>#REF!</f>
        <v>#REF!</v>
      </c>
      <c r="P489" s="22" t="e">
        <f t="shared" ref="P489:S489" si="497">O489</f>
        <v>#REF!</v>
      </c>
      <c r="Q489" s="22" t="e">
        <f t="shared" si="497"/>
        <v>#REF!</v>
      </c>
      <c r="R489" s="22" t="e">
        <f t="shared" si="497"/>
        <v>#REF!</v>
      </c>
      <c r="S489" s="22" t="e">
        <f t="shared" si="497"/>
        <v>#REF!</v>
      </c>
      <c r="U489" s="12" t="e">
        <f>#REF!</f>
        <v>#REF!</v>
      </c>
      <c r="W489" s="12" t="e">
        <f t="shared" si="472"/>
        <v>#REF!</v>
      </c>
      <c r="X489" s="12" t="e">
        <f t="shared" si="473"/>
        <v>#REF!</v>
      </c>
      <c r="Y489" s="12" t="e">
        <f t="shared" si="474"/>
        <v>#REF!</v>
      </c>
      <c r="Z489" s="12" t="e">
        <f t="shared" si="475"/>
        <v>#REF!</v>
      </c>
      <c r="AA489" s="12" t="e">
        <f t="shared" si="476"/>
        <v>#REF!</v>
      </c>
    </row>
    <row r="490" spans="2:27" x14ac:dyDescent="0.2">
      <c r="B490" s="9">
        <v>24</v>
      </c>
      <c r="C490" s="9" t="s">
        <v>37</v>
      </c>
      <c r="D490" s="10" t="s">
        <v>16</v>
      </c>
      <c r="E490" s="20" t="s">
        <v>18</v>
      </c>
      <c r="F490" s="10" t="str">
        <f t="shared" si="426"/>
        <v>24MQPECONOMY</v>
      </c>
      <c r="G490" s="12">
        <v>11.428749999999999</v>
      </c>
      <c r="H490" s="12">
        <v>11.428749999999999</v>
      </c>
      <c r="I490" s="12">
        <v>11.428749999999999</v>
      </c>
      <c r="J490" s="12">
        <v>11.428749999999999</v>
      </c>
      <c r="K490" s="12">
        <v>11.428749999999999</v>
      </c>
      <c r="M490" s="12">
        <f t="shared" si="415"/>
        <v>10.210000000000001</v>
      </c>
      <c r="O490" s="12" t="e">
        <f>#REF!</f>
        <v>#REF!</v>
      </c>
      <c r="P490" s="22" t="e">
        <f t="shared" ref="P490:S490" si="498">O490</f>
        <v>#REF!</v>
      </c>
      <c r="Q490" s="22" t="e">
        <f t="shared" si="498"/>
        <v>#REF!</v>
      </c>
      <c r="R490" s="22" t="e">
        <f t="shared" si="498"/>
        <v>#REF!</v>
      </c>
      <c r="S490" s="22" t="e">
        <f t="shared" si="498"/>
        <v>#REF!</v>
      </c>
      <c r="U490" s="12" t="e">
        <f>#REF!</f>
        <v>#REF!</v>
      </c>
      <c r="W490" s="12" t="e">
        <f t="shared" si="472"/>
        <v>#REF!</v>
      </c>
      <c r="X490" s="12" t="e">
        <f t="shared" si="473"/>
        <v>#REF!</v>
      </c>
      <c r="Y490" s="12" t="e">
        <f t="shared" si="474"/>
        <v>#REF!</v>
      </c>
      <c r="Z490" s="12" t="e">
        <f t="shared" si="475"/>
        <v>#REF!</v>
      </c>
      <c r="AA490" s="12" t="e">
        <f t="shared" si="476"/>
        <v>#REF!</v>
      </c>
    </row>
    <row r="491" spans="2:27" x14ac:dyDescent="0.2">
      <c r="B491" s="9">
        <v>25</v>
      </c>
      <c r="C491" s="9" t="s">
        <v>37</v>
      </c>
      <c r="D491" s="10" t="s">
        <v>16</v>
      </c>
      <c r="E491" s="20" t="s">
        <v>18</v>
      </c>
      <c r="F491" s="10" t="str">
        <f t="shared" si="426"/>
        <v>25MQPECONOMY</v>
      </c>
      <c r="G491" s="12">
        <v>12.525499999999999</v>
      </c>
      <c r="H491" s="12">
        <v>12.525499999999999</v>
      </c>
      <c r="I491" s="12">
        <v>12.525499999999999</v>
      </c>
      <c r="J491" s="12">
        <v>12.525499999999999</v>
      </c>
      <c r="K491" s="12">
        <v>12.525499999999999</v>
      </c>
      <c r="M491" s="12">
        <f t="shared" si="415"/>
        <v>10.210000000000001</v>
      </c>
      <c r="O491" s="12" t="e">
        <f>#REF!</f>
        <v>#REF!</v>
      </c>
      <c r="P491" s="22" t="e">
        <f t="shared" ref="P491:S491" si="499">O491</f>
        <v>#REF!</v>
      </c>
      <c r="Q491" s="22" t="e">
        <f t="shared" si="499"/>
        <v>#REF!</v>
      </c>
      <c r="R491" s="22" t="e">
        <f t="shared" si="499"/>
        <v>#REF!</v>
      </c>
      <c r="S491" s="22" t="e">
        <f t="shared" si="499"/>
        <v>#REF!</v>
      </c>
      <c r="U491" s="12" t="e">
        <f>#REF!</f>
        <v>#REF!</v>
      </c>
      <c r="W491" s="12" t="e">
        <f t="shared" si="472"/>
        <v>#REF!</v>
      </c>
      <c r="X491" s="12" t="e">
        <f t="shared" si="473"/>
        <v>#REF!</v>
      </c>
      <c r="Y491" s="12" t="e">
        <f t="shared" si="474"/>
        <v>#REF!</v>
      </c>
      <c r="Z491" s="12" t="e">
        <f t="shared" si="475"/>
        <v>#REF!</v>
      </c>
      <c r="AA491" s="12" t="e">
        <f t="shared" si="476"/>
        <v>#REF!</v>
      </c>
    </row>
    <row r="492" spans="2:27" x14ac:dyDescent="0.2">
      <c r="B492" s="9">
        <v>26</v>
      </c>
      <c r="C492" s="9" t="s">
        <v>37</v>
      </c>
      <c r="D492" s="10" t="s">
        <v>16</v>
      </c>
      <c r="E492" s="20" t="s">
        <v>18</v>
      </c>
      <c r="F492" s="10" t="str">
        <f t="shared" si="426"/>
        <v>26MQPECONOMY</v>
      </c>
      <c r="G492" s="12">
        <v>13.673499999999999</v>
      </c>
      <c r="H492" s="12">
        <v>13.673499999999999</v>
      </c>
      <c r="I492" s="12">
        <v>13.673499999999999</v>
      </c>
      <c r="J492" s="12">
        <v>13.673499999999999</v>
      </c>
      <c r="K492" s="12">
        <v>13.673499999999999</v>
      </c>
      <c r="M492" s="12">
        <f t="shared" si="415"/>
        <v>10.210000000000001</v>
      </c>
      <c r="O492" s="12" t="e">
        <f>#REF!</f>
        <v>#REF!</v>
      </c>
      <c r="P492" s="22" t="e">
        <f t="shared" ref="P492:S492" si="500">O492</f>
        <v>#REF!</v>
      </c>
      <c r="Q492" s="22" t="e">
        <f t="shared" si="500"/>
        <v>#REF!</v>
      </c>
      <c r="R492" s="22" t="e">
        <f t="shared" si="500"/>
        <v>#REF!</v>
      </c>
      <c r="S492" s="22" t="e">
        <f t="shared" si="500"/>
        <v>#REF!</v>
      </c>
      <c r="U492" s="12" t="e">
        <f>#REF!</f>
        <v>#REF!</v>
      </c>
      <c r="W492" s="12" t="e">
        <f t="shared" si="472"/>
        <v>#REF!</v>
      </c>
      <c r="X492" s="12" t="e">
        <f t="shared" si="473"/>
        <v>#REF!</v>
      </c>
      <c r="Y492" s="12" t="e">
        <f t="shared" si="474"/>
        <v>#REF!</v>
      </c>
      <c r="Z492" s="12" t="e">
        <f t="shared" si="475"/>
        <v>#REF!</v>
      </c>
      <c r="AA492" s="12" t="e">
        <f t="shared" si="476"/>
        <v>#REF!</v>
      </c>
    </row>
    <row r="493" spans="2:27" x14ac:dyDescent="0.2">
      <c r="B493" s="9">
        <v>27</v>
      </c>
      <c r="C493" s="9" t="s">
        <v>37</v>
      </c>
      <c r="D493" s="10" t="s">
        <v>16</v>
      </c>
      <c r="E493" s="20" t="s">
        <v>18</v>
      </c>
      <c r="F493" s="10" t="str">
        <f t="shared" si="426"/>
        <v>27MQPECONOMY</v>
      </c>
      <c r="G493" s="12">
        <v>42.363249999999994</v>
      </c>
      <c r="H493" s="12">
        <v>42.363249999999994</v>
      </c>
      <c r="I493" s="12">
        <v>42.363249999999994</v>
      </c>
      <c r="J493" s="12">
        <v>42.363249999999994</v>
      </c>
      <c r="K493" s="12">
        <v>42.363249999999994</v>
      </c>
      <c r="M493" s="12">
        <f t="shared" si="415"/>
        <v>10.210000000000001</v>
      </c>
      <c r="O493" s="12" t="e">
        <f>#REF!</f>
        <v>#REF!</v>
      </c>
      <c r="P493" s="22" t="e">
        <f t="shared" ref="P493:S493" si="501">O493</f>
        <v>#REF!</v>
      </c>
      <c r="Q493" s="22" t="e">
        <f t="shared" si="501"/>
        <v>#REF!</v>
      </c>
      <c r="R493" s="22" t="e">
        <f t="shared" si="501"/>
        <v>#REF!</v>
      </c>
      <c r="S493" s="22" t="e">
        <f t="shared" si="501"/>
        <v>#REF!</v>
      </c>
      <c r="U493" s="12" t="e">
        <f>#REF!</f>
        <v>#REF!</v>
      </c>
      <c r="W493" s="12" t="e">
        <f t="shared" si="472"/>
        <v>#REF!</v>
      </c>
      <c r="X493" s="12" t="e">
        <f t="shared" si="473"/>
        <v>#REF!</v>
      </c>
      <c r="Y493" s="12" t="e">
        <f t="shared" si="474"/>
        <v>#REF!</v>
      </c>
      <c r="Z493" s="12" t="e">
        <f t="shared" si="475"/>
        <v>#REF!</v>
      </c>
      <c r="AA493" s="12" t="e">
        <f t="shared" si="476"/>
        <v>#REF!</v>
      </c>
    </row>
    <row r="494" spans="2:27" x14ac:dyDescent="0.2">
      <c r="B494" s="9">
        <v>28</v>
      </c>
      <c r="C494" s="9" t="s">
        <v>37</v>
      </c>
      <c r="D494" s="10" t="s">
        <v>16</v>
      </c>
      <c r="E494" s="20" t="s">
        <v>18</v>
      </c>
      <c r="F494" s="10" t="str">
        <f t="shared" si="426"/>
        <v>28MQPECONOMY</v>
      </c>
      <c r="G494" s="12">
        <v>44.003249999999994</v>
      </c>
      <c r="H494" s="12">
        <v>44.003249999999994</v>
      </c>
      <c r="I494" s="12">
        <v>44.003249999999994</v>
      </c>
      <c r="J494" s="12">
        <v>44.003249999999994</v>
      </c>
      <c r="K494" s="12">
        <v>44.003249999999994</v>
      </c>
      <c r="M494" s="12">
        <f t="shared" ref="M494:M508" si="502">VLOOKUP(C494,$AN$5:$AS$9,6,FALSE)</f>
        <v>10.210000000000001</v>
      </c>
      <c r="O494" s="12" t="e">
        <f>#REF!</f>
        <v>#REF!</v>
      </c>
      <c r="P494" s="22" t="e">
        <f t="shared" ref="P494:S494" si="503">O494</f>
        <v>#REF!</v>
      </c>
      <c r="Q494" s="22" t="e">
        <f t="shared" si="503"/>
        <v>#REF!</v>
      </c>
      <c r="R494" s="22" t="e">
        <f t="shared" si="503"/>
        <v>#REF!</v>
      </c>
      <c r="S494" s="22" t="e">
        <f t="shared" si="503"/>
        <v>#REF!</v>
      </c>
      <c r="U494" s="12" t="e">
        <f>#REF!</f>
        <v>#REF!</v>
      </c>
      <c r="W494" s="12" t="e">
        <f t="shared" si="472"/>
        <v>#REF!</v>
      </c>
      <c r="X494" s="12" t="e">
        <f t="shared" si="473"/>
        <v>#REF!</v>
      </c>
      <c r="Y494" s="12" t="e">
        <f t="shared" si="474"/>
        <v>#REF!</v>
      </c>
      <c r="Z494" s="12" t="e">
        <f t="shared" si="475"/>
        <v>#REF!</v>
      </c>
      <c r="AA494" s="12" t="e">
        <f t="shared" si="476"/>
        <v>#REF!</v>
      </c>
    </row>
    <row r="495" spans="2:27" x14ac:dyDescent="0.2">
      <c r="B495" s="9">
        <v>31</v>
      </c>
      <c r="C495" s="9" t="s">
        <v>46</v>
      </c>
      <c r="D495" s="10" t="s">
        <v>16</v>
      </c>
      <c r="E495" s="20" t="s">
        <v>18</v>
      </c>
      <c r="F495" s="10" t="str">
        <f t="shared" si="426"/>
        <v>31MQPECONOMY</v>
      </c>
      <c r="G495" s="13">
        <v>7.9334999999999996</v>
      </c>
      <c r="H495" s="13">
        <v>7.9334999999999996</v>
      </c>
      <c r="I495" s="13">
        <v>7.9334999999999996</v>
      </c>
      <c r="J495" s="13">
        <v>7.9334999999999996</v>
      </c>
      <c r="K495" s="13">
        <v>7.9334999999999996</v>
      </c>
      <c r="M495" s="13">
        <f t="shared" si="502"/>
        <v>10.210000000000001</v>
      </c>
      <c r="O495" s="13" t="e">
        <f>#REF!</f>
        <v>#REF!</v>
      </c>
      <c r="P495" s="22" t="e">
        <f t="shared" ref="P495:S495" si="504">O495</f>
        <v>#REF!</v>
      </c>
      <c r="Q495" s="22" t="e">
        <f t="shared" si="504"/>
        <v>#REF!</v>
      </c>
      <c r="R495" s="22" t="e">
        <f t="shared" si="504"/>
        <v>#REF!</v>
      </c>
      <c r="S495" s="22" t="e">
        <f t="shared" si="504"/>
        <v>#REF!</v>
      </c>
      <c r="U495" s="13" t="e">
        <f>#REF!</f>
        <v>#REF!</v>
      </c>
      <c r="W495" s="13" t="e">
        <f t="shared" si="472"/>
        <v>#REF!</v>
      </c>
      <c r="X495" s="13" t="e">
        <f t="shared" si="473"/>
        <v>#REF!</v>
      </c>
      <c r="Y495" s="13" t="e">
        <f t="shared" si="474"/>
        <v>#REF!</v>
      </c>
      <c r="Z495" s="13" t="e">
        <f t="shared" si="475"/>
        <v>#REF!</v>
      </c>
      <c r="AA495" s="13" t="e">
        <f t="shared" si="476"/>
        <v>#REF!</v>
      </c>
    </row>
    <row r="496" spans="2:27" x14ac:dyDescent="0.2">
      <c r="B496" s="9">
        <v>32</v>
      </c>
      <c r="C496" s="9" t="s">
        <v>46</v>
      </c>
      <c r="D496" s="10" t="s">
        <v>16</v>
      </c>
      <c r="E496" s="20" t="s">
        <v>18</v>
      </c>
      <c r="F496" s="10" t="str">
        <f t="shared" si="426"/>
        <v>32MQPECONOMY</v>
      </c>
      <c r="G496" s="13">
        <v>9.4710000000000001</v>
      </c>
      <c r="H496" s="13">
        <v>9.4710000000000001</v>
      </c>
      <c r="I496" s="13">
        <v>9.4710000000000001</v>
      </c>
      <c r="J496" s="13">
        <v>9.4710000000000001</v>
      </c>
      <c r="K496" s="13">
        <v>9.4710000000000001</v>
      </c>
      <c r="M496" s="13">
        <f t="shared" si="502"/>
        <v>10.210000000000001</v>
      </c>
      <c r="O496" s="13" t="e">
        <f>#REF!</f>
        <v>#REF!</v>
      </c>
      <c r="P496" s="22" t="e">
        <f t="shared" ref="P496:S496" si="505">O496</f>
        <v>#REF!</v>
      </c>
      <c r="Q496" s="22" t="e">
        <f t="shared" si="505"/>
        <v>#REF!</v>
      </c>
      <c r="R496" s="22" t="e">
        <f t="shared" si="505"/>
        <v>#REF!</v>
      </c>
      <c r="S496" s="22" t="e">
        <f t="shared" si="505"/>
        <v>#REF!</v>
      </c>
      <c r="U496" s="13" t="e">
        <f>#REF!</f>
        <v>#REF!</v>
      </c>
      <c r="W496" s="13" t="e">
        <f t="shared" si="472"/>
        <v>#REF!</v>
      </c>
      <c r="X496" s="13" t="e">
        <f t="shared" si="473"/>
        <v>#REF!</v>
      </c>
      <c r="Y496" s="13" t="e">
        <f t="shared" si="474"/>
        <v>#REF!</v>
      </c>
      <c r="Z496" s="13" t="e">
        <f t="shared" si="475"/>
        <v>#REF!</v>
      </c>
      <c r="AA496" s="13" t="e">
        <f t="shared" si="476"/>
        <v>#REF!</v>
      </c>
    </row>
    <row r="497" spans="2:27" x14ac:dyDescent="0.2">
      <c r="B497" s="9">
        <v>33</v>
      </c>
      <c r="C497" s="9" t="s">
        <v>46</v>
      </c>
      <c r="D497" s="10" t="s">
        <v>16</v>
      </c>
      <c r="E497" s="20" t="s">
        <v>18</v>
      </c>
      <c r="F497" s="10" t="str">
        <f t="shared" si="426"/>
        <v>33MQPECONOMY</v>
      </c>
      <c r="G497" s="13">
        <v>10.4755</v>
      </c>
      <c r="H497" s="13">
        <v>10.4755</v>
      </c>
      <c r="I497" s="13">
        <v>10.4755</v>
      </c>
      <c r="J497" s="13">
        <v>10.4755</v>
      </c>
      <c r="K497" s="13">
        <v>10.4755</v>
      </c>
      <c r="M497" s="13">
        <f t="shared" si="502"/>
        <v>10.210000000000001</v>
      </c>
      <c r="O497" s="13" t="e">
        <f>#REF!</f>
        <v>#REF!</v>
      </c>
      <c r="P497" s="22" t="e">
        <f t="shared" ref="P497:S497" si="506">O497</f>
        <v>#REF!</v>
      </c>
      <c r="Q497" s="22" t="e">
        <f t="shared" si="506"/>
        <v>#REF!</v>
      </c>
      <c r="R497" s="22" t="e">
        <f t="shared" si="506"/>
        <v>#REF!</v>
      </c>
      <c r="S497" s="22" t="e">
        <f t="shared" si="506"/>
        <v>#REF!</v>
      </c>
      <c r="U497" s="13" t="e">
        <f>#REF!</f>
        <v>#REF!</v>
      </c>
      <c r="W497" s="13" t="e">
        <f t="shared" si="472"/>
        <v>#REF!</v>
      </c>
      <c r="X497" s="13" t="e">
        <f t="shared" si="473"/>
        <v>#REF!</v>
      </c>
      <c r="Y497" s="13" t="e">
        <f t="shared" si="474"/>
        <v>#REF!</v>
      </c>
      <c r="Z497" s="13" t="e">
        <f t="shared" si="475"/>
        <v>#REF!</v>
      </c>
      <c r="AA497" s="13" t="e">
        <f t="shared" si="476"/>
        <v>#REF!</v>
      </c>
    </row>
    <row r="498" spans="2:27" x14ac:dyDescent="0.2">
      <c r="B498" s="9">
        <v>34</v>
      </c>
      <c r="C498" s="9" t="s">
        <v>46</v>
      </c>
      <c r="D498" s="10" t="s">
        <v>16</v>
      </c>
      <c r="E498" s="20" t="s">
        <v>18</v>
      </c>
      <c r="F498" s="10" t="str">
        <f t="shared" si="426"/>
        <v>34MQPECONOMY</v>
      </c>
      <c r="G498" s="13">
        <v>12.084749999999998</v>
      </c>
      <c r="H498" s="13">
        <v>12.084749999999998</v>
      </c>
      <c r="I498" s="13">
        <v>12.084749999999998</v>
      </c>
      <c r="J498" s="13">
        <v>12.084749999999998</v>
      </c>
      <c r="K498" s="13">
        <v>12.084749999999998</v>
      </c>
      <c r="M498" s="13">
        <f t="shared" si="502"/>
        <v>10.210000000000001</v>
      </c>
      <c r="O498" s="13" t="e">
        <f>#REF!</f>
        <v>#REF!</v>
      </c>
      <c r="P498" s="22" t="e">
        <f t="shared" ref="P498:S498" si="507">O498</f>
        <v>#REF!</v>
      </c>
      <c r="Q498" s="22" t="e">
        <f t="shared" si="507"/>
        <v>#REF!</v>
      </c>
      <c r="R498" s="22" t="e">
        <f t="shared" si="507"/>
        <v>#REF!</v>
      </c>
      <c r="S498" s="22" t="e">
        <f t="shared" si="507"/>
        <v>#REF!</v>
      </c>
      <c r="U498" s="13" t="e">
        <f>#REF!</f>
        <v>#REF!</v>
      </c>
      <c r="W498" s="13" t="e">
        <f t="shared" si="472"/>
        <v>#REF!</v>
      </c>
      <c r="X498" s="13" t="e">
        <f t="shared" si="473"/>
        <v>#REF!</v>
      </c>
      <c r="Y498" s="13" t="e">
        <f t="shared" si="474"/>
        <v>#REF!</v>
      </c>
      <c r="Z498" s="13" t="e">
        <f t="shared" si="475"/>
        <v>#REF!</v>
      </c>
      <c r="AA498" s="13" t="e">
        <f t="shared" si="476"/>
        <v>#REF!</v>
      </c>
    </row>
    <row r="499" spans="2:27" ht="12.95" customHeight="1" x14ac:dyDescent="0.2">
      <c r="B499" s="9">
        <v>35</v>
      </c>
      <c r="C499" s="9" t="s">
        <v>46</v>
      </c>
      <c r="D499" s="10" t="s">
        <v>16</v>
      </c>
      <c r="E499" s="20" t="s">
        <v>18</v>
      </c>
      <c r="F499" s="10" t="str">
        <f t="shared" si="426"/>
        <v>35MQPECONOMY</v>
      </c>
      <c r="G499" s="13">
        <v>13.529999999999998</v>
      </c>
      <c r="H499" s="13">
        <v>13.529999999999998</v>
      </c>
      <c r="I499" s="13">
        <v>13.529999999999998</v>
      </c>
      <c r="J499" s="13">
        <v>13.529999999999998</v>
      </c>
      <c r="K499" s="13">
        <v>13.529999999999998</v>
      </c>
      <c r="M499" s="13">
        <f t="shared" si="502"/>
        <v>10.210000000000001</v>
      </c>
      <c r="O499" s="13" t="e">
        <f>#REF!</f>
        <v>#REF!</v>
      </c>
      <c r="P499" s="22" t="e">
        <f t="shared" ref="P499:S499" si="508">O499</f>
        <v>#REF!</v>
      </c>
      <c r="Q499" s="22" t="e">
        <f t="shared" si="508"/>
        <v>#REF!</v>
      </c>
      <c r="R499" s="22" t="e">
        <f t="shared" si="508"/>
        <v>#REF!</v>
      </c>
      <c r="S499" s="22" t="e">
        <f t="shared" si="508"/>
        <v>#REF!</v>
      </c>
      <c r="U499" s="13" t="e">
        <f>#REF!</f>
        <v>#REF!</v>
      </c>
      <c r="W499" s="13" t="e">
        <f t="shared" si="472"/>
        <v>#REF!</v>
      </c>
      <c r="X499" s="13" t="e">
        <f t="shared" si="473"/>
        <v>#REF!</v>
      </c>
      <c r="Y499" s="13" t="e">
        <f t="shared" si="474"/>
        <v>#REF!</v>
      </c>
      <c r="Z499" s="13" t="e">
        <f t="shared" si="475"/>
        <v>#REF!</v>
      </c>
      <c r="AA499" s="13" t="e">
        <f t="shared" si="476"/>
        <v>#REF!</v>
      </c>
    </row>
    <row r="500" spans="2:27" ht="12.75" customHeight="1" x14ac:dyDescent="0.2">
      <c r="B500" s="9">
        <v>41</v>
      </c>
      <c r="C500" s="9" t="s">
        <v>38</v>
      </c>
      <c r="D500" s="10" t="s">
        <v>16</v>
      </c>
      <c r="E500" s="20" t="s">
        <v>18</v>
      </c>
      <c r="F500" s="10" t="str">
        <f t="shared" si="426"/>
        <v>41MQPECONOMY</v>
      </c>
      <c r="G500" s="14">
        <v>8.9499999999999993</v>
      </c>
      <c r="H500" s="14">
        <v>8.9499999999999993</v>
      </c>
      <c r="I500" s="14">
        <v>8.9499999999999993</v>
      </c>
      <c r="J500" s="14">
        <v>8.9499999999999993</v>
      </c>
      <c r="K500" s="14">
        <v>8.9499999999999993</v>
      </c>
      <c r="M500" s="14">
        <f t="shared" si="502"/>
        <v>9.26</v>
      </c>
      <c r="O500" s="14" t="e">
        <f>#REF!</f>
        <v>#REF!</v>
      </c>
      <c r="P500" s="22" t="e">
        <f t="shared" ref="P500:S500" si="509">O500</f>
        <v>#REF!</v>
      </c>
      <c r="Q500" s="22" t="e">
        <f t="shared" si="509"/>
        <v>#REF!</v>
      </c>
      <c r="R500" s="22" t="e">
        <f t="shared" si="509"/>
        <v>#REF!</v>
      </c>
      <c r="S500" s="22" t="e">
        <f t="shared" si="509"/>
        <v>#REF!</v>
      </c>
      <c r="U500" s="14" t="e">
        <f>#REF!</f>
        <v>#REF!</v>
      </c>
      <c r="W500" s="14" t="e">
        <f t="shared" si="472"/>
        <v>#REF!</v>
      </c>
      <c r="X500" s="14" t="e">
        <f t="shared" si="473"/>
        <v>#REF!</v>
      </c>
      <c r="Y500" s="14" t="e">
        <f t="shared" si="474"/>
        <v>#REF!</v>
      </c>
      <c r="Z500" s="14" t="e">
        <f t="shared" si="475"/>
        <v>#REF!</v>
      </c>
      <c r="AA500" s="14" t="e">
        <f t="shared" si="476"/>
        <v>#REF!</v>
      </c>
    </row>
    <row r="501" spans="2:27" ht="12.95" customHeight="1" x14ac:dyDescent="0.2">
      <c r="B501" s="9">
        <v>42</v>
      </c>
      <c r="C501" s="9" t="s">
        <v>38</v>
      </c>
      <c r="D501" s="10" t="s">
        <v>16</v>
      </c>
      <c r="E501" s="20" t="s">
        <v>18</v>
      </c>
      <c r="F501" s="10" t="str">
        <f t="shared" si="426"/>
        <v>42MQPECONOMY</v>
      </c>
      <c r="G501" s="14">
        <v>9.85</v>
      </c>
      <c r="H501" s="14">
        <v>9.85</v>
      </c>
      <c r="I501" s="14">
        <v>9.85</v>
      </c>
      <c r="J501" s="14">
        <v>9.85</v>
      </c>
      <c r="K501" s="14">
        <v>9.85</v>
      </c>
      <c r="M501" s="14">
        <f t="shared" si="502"/>
        <v>9.26</v>
      </c>
      <c r="O501" s="14" t="e">
        <f>#REF!</f>
        <v>#REF!</v>
      </c>
      <c r="P501" s="22" t="e">
        <f t="shared" ref="P501:S501" si="510">O501</f>
        <v>#REF!</v>
      </c>
      <c r="Q501" s="22" t="e">
        <f t="shared" si="510"/>
        <v>#REF!</v>
      </c>
      <c r="R501" s="22" t="e">
        <f t="shared" si="510"/>
        <v>#REF!</v>
      </c>
      <c r="S501" s="22" t="e">
        <f t="shared" si="510"/>
        <v>#REF!</v>
      </c>
      <c r="U501" s="14" t="e">
        <f>#REF!</f>
        <v>#REF!</v>
      </c>
      <c r="W501" s="14" t="e">
        <f t="shared" si="472"/>
        <v>#REF!</v>
      </c>
      <c r="X501" s="14" t="e">
        <f t="shared" si="473"/>
        <v>#REF!</v>
      </c>
      <c r="Y501" s="14" t="e">
        <f t="shared" si="474"/>
        <v>#REF!</v>
      </c>
      <c r="Z501" s="14" t="e">
        <f t="shared" si="475"/>
        <v>#REF!</v>
      </c>
      <c r="AA501" s="14" t="e">
        <f t="shared" si="476"/>
        <v>#REF!</v>
      </c>
    </row>
    <row r="502" spans="2:27" ht="12.95" customHeight="1" x14ac:dyDescent="0.2">
      <c r="B502" s="9">
        <v>43</v>
      </c>
      <c r="C502" s="9" t="s">
        <v>38</v>
      </c>
      <c r="D502" s="10" t="s">
        <v>16</v>
      </c>
      <c r="E502" s="20" t="s">
        <v>18</v>
      </c>
      <c r="F502" s="10" t="str">
        <f t="shared" si="426"/>
        <v>43MQPECONOMY</v>
      </c>
      <c r="G502" s="14">
        <v>10.95</v>
      </c>
      <c r="H502" s="14">
        <v>10.95</v>
      </c>
      <c r="I502" s="14">
        <v>10.95</v>
      </c>
      <c r="J502" s="14">
        <v>10.95</v>
      </c>
      <c r="K502" s="14">
        <v>10.95</v>
      </c>
      <c r="M502" s="14">
        <f t="shared" si="502"/>
        <v>9.26</v>
      </c>
      <c r="O502" s="14" t="e">
        <f>#REF!</f>
        <v>#REF!</v>
      </c>
      <c r="P502" s="22" t="e">
        <f t="shared" ref="P502:S502" si="511">O502</f>
        <v>#REF!</v>
      </c>
      <c r="Q502" s="22" t="e">
        <f t="shared" si="511"/>
        <v>#REF!</v>
      </c>
      <c r="R502" s="22" t="e">
        <f t="shared" si="511"/>
        <v>#REF!</v>
      </c>
      <c r="S502" s="22" t="e">
        <f t="shared" si="511"/>
        <v>#REF!</v>
      </c>
      <c r="U502" s="14" t="e">
        <f>#REF!</f>
        <v>#REF!</v>
      </c>
      <c r="W502" s="14" t="e">
        <f t="shared" si="472"/>
        <v>#REF!</v>
      </c>
      <c r="X502" s="14" t="e">
        <f t="shared" si="473"/>
        <v>#REF!</v>
      </c>
      <c r="Y502" s="14" t="e">
        <f t="shared" si="474"/>
        <v>#REF!</v>
      </c>
      <c r="Z502" s="14" t="e">
        <f t="shared" si="475"/>
        <v>#REF!</v>
      </c>
      <c r="AA502" s="14" t="e">
        <f t="shared" si="476"/>
        <v>#REF!</v>
      </c>
    </row>
    <row r="503" spans="2:27" ht="12.95" customHeight="1" x14ac:dyDescent="0.2">
      <c r="B503" s="9">
        <v>44</v>
      </c>
      <c r="C503" s="9" t="s">
        <v>38</v>
      </c>
      <c r="D503" s="10" t="s">
        <v>16</v>
      </c>
      <c r="E503" s="20" t="s">
        <v>18</v>
      </c>
      <c r="F503" s="10" t="str">
        <f t="shared" si="426"/>
        <v>44MQPECONOMY</v>
      </c>
      <c r="G503" s="14">
        <v>26.23</v>
      </c>
      <c r="H503" s="14">
        <v>26.23</v>
      </c>
      <c r="I503" s="14">
        <v>26.23</v>
      </c>
      <c r="J503" s="14">
        <v>26.23</v>
      </c>
      <c r="K503" s="14">
        <v>26.23</v>
      </c>
      <c r="M503" s="14">
        <f t="shared" si="502"/>
        <v>9.26</v>
      </c>
      <c r="O503" s="14" t="e">
        <f>#REF!</f>
        <v>#REF!</v>
      </c>
      <c r="P503" s="22" t="e">
        <f t="shared" ref="P503:S503" si="512">O503</f>
        <v>#REF!</v>
      </c>
      <c r="Q503" s="22" t="e">
        <f t="shared" si="512"/>
        <v>#REF!</v>
      </c>
      <c r="R503" s="22" t="e">
        <f t="shared" si="512"/>
        <v>#REF!</v>
      </c>
      <c r="S503" s="22" t="e">
        <f t="shared" si="512"/>
        <v>#REF!</v>
      </c>
      <c r="U503" s="14" t="e">
        <f>#REF!</f>
        <v>#REF!</v>
      </c>
      <c r="W503" s="14" t="e">
        <f t="shared" si="472"/>
        <v>#REF!</v>
      </c>
      <c r="X503" s="14" t="e">
        <f t="shared" si="473"/>
        <v>#REF!</v>
      </c>
      <c r="Y503" s="14" t="e">
        <f t="shared" si="474"/>
        <v>#REF!</v>
      </c>
      <c r="Z503" s="14" t="e">
        <f t="shared" si="475"/>
        <v>#REF!</v>
      </c>
      <c r="AA503" s="14" t="e">
        <f t="shared" si="476"/>
        <v>#REF!</v>
      </c>
    </row>
    <row r="504" spans="2:27" ht="12.95" customHeight="1" x14ac:dyDescent="0.2">
      <c r="B504" s="9">
        <v>45</v>
      </c>
      <c r="C504" s="9" t="s">
        <v>38</v>
      </c>
      <c r="D504" s="10" t="s">
        <v>16</v>
      </c>
      <c r="E504" s="20" t="s">
        <v>18</v>
      </c>
      <c r="F504" s="10" t="str">
        <f t="shared" si="426"/>
        <v>45MQPECONOMY</v>
      </c>
      <c r="G504" s="14">
        <v>27.76</v>
      </c>
      <c r="H504" s="14">
        <v>27.76</v>
      </c>
      <c r="I504" s="14">
        <v>27.76</v>
      </c>
      <c r="J504" s="14">
        <v>27.76</v>
      </c>
      <c r="K504" s="14">
        <v>27.76</v>
      </c>
      <c r="M504" s="14">
        <f t="shared" si="502"/>
        <v>9.26</v>
      </c>
      <c r="O504" s="14" t="e">
        <f>#REF!</f>
        <v>#REF!</v>
      </c>
      <c r="P504" s="22" t="e">
        <f t="shared" ref="P504:S504" si="513">O504</f>
        <v>#REF!</v>
      </c>
      <c r="Q504" s="22" t="e">
        <f t="shared" si="513"/>
        <v>#REF!</v>
      </c>
      <c r="R504" s="22" t="e">
        <f t="shared" si="513"/>
        <v>#REF!</v>
      </c>
      <c r="S504" s="22" t="e">
        <f t="shared" si="513"/>
        <v>#REF!</v>
      </c>
      <c r="U504" s="14" t="e">
        <f>#REF!</f>
        <v>#REF!</v>
      </c>
      <c r="W504" s="14" t="e">
        <f t="shared" si="472"/>
        <v>#REF!</v>
      </c>
      <c r="X504" s="14" t="e">
        <f t="shared" si="473"/>
        <v>#REF!</v>
      </c>
      <c r="Y504" s="14" t="e">
        <f t="shared" si="474"/>
        <v>#REF!</v>
      </c>
      <c r="Z504" s="14" t="e">
        <f t="shared" si="475"/>
        <v>#REF!</v>
      </c>
      <c r="AA504" s="14" t="e">
        <f t="shared" si="476"/>
        <v>#REF!</v>
      </c>
    </row>
    <row r="505" spans="2:27" x14ac:dyDescent="0.2">
      <c r="B505" s="9">
        <v>51</v>
      </c>
      <c r="C505" s="9" t="s">
        <v>39</v>
      </c>
      <c r="D505" s="10" t="s">
        <v>16</v>
      </c>
      <c r="E505" s="20" t="s">
        <v>18</v>
      </c>
      <c r="F505" s="10" t="str">
        <f t="shared" si="426"/>
        <v>51MQPECONOMY</v>
      </c>
      <c r="G505" s="18">
        <v>8.9499999999999993</v>
      </c>
      <c r="H505" s="18">
        <v>8.9499999999999993</v>
      </c>
      <c r="I505" s="18">
        <v>8.9499999999999993</v>
      </c>
      <c r="J505" s="18">
        <v>8.9499999999999993</v>
      </c>
      <c r="K505" s="18">
        <v>8.9499999999999993</v>
      </c>
      <c r="M505" s="18">
        <f t="shared" si="502"/>
        <v>9.26</v>
      </c>
      <c r="O505" s="18" t="e">
        <f>#REF!</f>
        <v>#REF!</v>
      </c>
      <c r="P505" s="22" t="e">
        <f t="shared" ref="P505:S505" si="514">O505</f>
        <v>#REF!</v>
      </c>
      <c r="Q505" s="22" t="e">
        <f t="shared" si="514"/>
        <v>#REF!</v>
      </c>
      <c r="R505" s="22" t="e">
        <f t="shared" si="514"/>
        <v>#REF!</v>
      </c>
      <c r="S505" s="22" t="e">
        <f t="shared" si="514"/>
        <v>#REF!</v>
      </c>
      <c r="U505" s="18" t="e">
        <f>#REF!</f>
        <v>#REF!</v>
      </c>
      <c r="W505" s="18" t="e">
        <f t="shared" si="472"/>
        <v>#REF!</v>
      </c>
      <c r="X505" s="18" t="e">
        <f t="shared" si="473"/>
        <v>#REF!</v>
      </c>
      <c r="Y505" s="18" t="e">
        <f t="shared" si="474"/>
        <v>#REF!</v>
      </c>
      <c r="Z505" s="18" t="e">
        <f t="shared" si="475"/>
        <v>#REF!</v>
      </c>
      <c r="AA505" s="18" t="e">
        <f t="shared" si="476"/>
        <v>#REF!</v>
      </c>
    </row>
    <row r="506" spans="2:27" x14ac:dyDescent="0.2">
      <c r="B506" s="9">
        <v>52</v>
      </c>
      <c r="C506" s="9" t="s">
        <v>39</v>
      </c>
      <c r="D506" s="10" t="s">
        <v>16</v>
      </c>
      <c r="E506" s="20" t="s">
        <v>18</v>
      </c>
      <c r="F506" s="10" t="str">
        <f t="shared" si="426"/>
        <v>52MQPECONOMY</v>
      </c>
      <c r="G506" s="18">
        <v>9.85</v>
      </c>
      <c r="H506" s="18">
        <v>9.85</v>
      </c>
      <c r="I506" s="18">
        <v>9.85</v>
      </c>
      <c r="J506" s="18">
        <v>9.85</v>
      </c>
      <c r="K506" s="18">
        <v>9.85</v>
      </c>
      <c r="M506" s="18">
        <f t="shared" si="502"/>
        <v>9.26</v>
      </c>
      <c r="O506" s="18" t="e">
        <f>#REF!</f>
        <v>#REF!</v>
      </c>
      <c r="P506" s="22" t="e">
        <f t="shared" ref="P506:S506" si="515">O506</f>
        <v>#REF!</v>
      </c>
      <c r="Q506" s="22" t="e">
        <f t="shared" si="515"/>
        <v>#REF!</v>
      </c>
      <c r="R506" s="22" t="e">
        <f t="shared" si="515"/>
        <v>#REF!</v>
      </c>
      <c r="S506" s="22" t="e">
        <f t="shared" si="515"/>
        <v>#REF!</v>
      </c>
      <c r="U506" s="18" t="e">
        <f>#REF!</f>
        <v>#REF!</v>
      </c>
      <c r="W506" s="18" t="e">
        <f t="shared" si="472"/>
        <v>#REF!</v>
      </c>
      <c r="X506" s="18" t="e">
        <f t="shared" si="473"/>
        <v>#REF!</v>
      </c>
      <c r="Y506" s="18" t="e">
        <f t="shared" si="474"/>
        <v>#REF!</v>
      </c>
      <c r="Z506" s="18" t="e">
        <f t="shared" si="475"/>
        <v>#REF!</v>
      </c>
      <c r="AA506" s="18" t="e">
        <f t="shared" si="476"/>
        <v>#REF!</v>
      </c>
    </row>
    <row r="507" spans="2:27" x14ac:dyDescent="0.2">
      <c r="B507" s="9">
        <v>53</v>
      </c>
      <c r="C507" s="9" t="s">
        <v>39</v>
      </c>
      <c r="D507" s="10" t="s">
        <v>16</v>
      </c>
      <c r="E507" s="20" t="s">
        <v>18</v>
      </c>
      <c r="F507" s="10" t="str">
        <f t="shared" si="426"/>
        <v>53MQPECONOMY</v>
      </c>
      <c r="G507" s="18">
        <v>10.95</v>
      </c>
      <c r="H507" s="18">
        <v>10.95</v>
      </c>
      <c r="I507" s="18">
        <v>10.95</v>
      </c>
      <c r="J507" s="18">
        <v>10.95</v>
      </c>
      <c r="K507" s="18">
        <v>10.95</v>
      </c>
      <c r="M507" s="18">
        <f t="shared" si="502"/>
        <v>9.26</v>
      </c>
      <c r="O507" s="18" t="e">
        <f>#REF!</f>
        <v>#REF!</v>
      </c>
      <c r="P507" s="22" t="e">
        <f t="shared" ref="P507:S507" si="516">O507</f>
        <v>#REF!</v>
      </c>
      <c r="Q507" s="22" t="e">
        <f t="shared" si="516"/>
        <v>#REF!</v>
      </c>
      <c r="R507" s="22" t="e">
        <f t="shared" si="516"/>
        <v>#REF!</v>
      </c>
      <c r="S507" s="22" t="e">
        <f t="shared" si="516"/>
        <v>#REF!</v>
      </c>
      <c r="U507" s="18" t="e">
        <f>#REF!</f>
        <v>#REF!</v>
      </c>
      <c r="W507" s="18" t="e">
        <f t="shared" si="472"/>
        <v>#REF!</v>
      </c>
      <c r="X507" s="18" t="e">
        <f t="shared" si="473"/>
        <v>#REF!</v>
      </c>
      <c r="Y507" s="18" t="e">
        <f t="shared" si="474"/>
        <v>#REF!</v>
      </c>
      <c r="Z507" s="18" t="e">
        <f t="shared" si="475"/>
        <v>#REF!</v>
      </c>
      <c r="AA507" s="18" t="e">
        <f t="shared" si="476"/>
        <v>#REF!</v>
      </c>
    </row>
    <row r="508" spans="2:27" x14ac:dyDescent="0.2">
      <c r="B508" s="9">
        <v>54</v>
      </c>
      <c r="C508" s="9" t="s">
        <v>39</v>
      </c>
      <c r="D508" s="10" t="s">
        <v>16</v>
      </c>
      <c r="E508" s="20" t="s">
        <v>18</v>
      </c>
      <c r="F508" s="10" t="str">
        <f t="shared" ref="F508" si="517">B508&amp;D508&amp;E508</f>
        <v>54MQPECONOMY</v>
      </c>
      <c r="G508" s="18">
        <v>11.85</v>
      </c>
      <c r="H508" s="18">
        <v>11.85</v>
      </c>
      <c r="I508" s="18">
        <v>11.85</v>
      </c>
      <c r="J508" s="18">
        <v>11.85</v>
      </c>
      <c r="K508" s="18">
        <v>11.85</v>
      </c>
      <c r="M508" s="18">
        <f t="shared" si="502"/>
        <v>9.26</v>
      </c>
      <c r="O508" s="18" t="e">
        <f>#REF!</f>
        <v>#REF!</v>
      </c>
      <c r="P508" s="22" t="e">
        <f t="shared" ref="P508:S508" si="518">O508</f>
        <v>#REF!</v>
      </c>
      <c r="Q508" s="22" t="e">
        <f t="shared" si="518"/>
        <v>#REF!</v>
      </c>
      <c r="R508" s="22" t="e">
        <f t="shared" si="518"/>
        <v>#REF!</v>
      </c>
      <c r="S508" s="22" t="e">
        <f t="shared" si="518"/>
        <v>#REF!</v>
      </c>
      <c r="U508" s="18" t="e">
        <f>#REF!</f>
        <v>#REF!</v>
      </c>
      <c r="W508" s="18" t="e">
        <f t="shared" si="472"/>
        <v>#REF!</v>
      </c>
      <c r="X508" s="18" t="e">
        <f t="shared" si="473"/>
        <v>#REF!</v>
      </c>
      <c r="Y508" s="18" t="e">
        <f t="shared" si="474"/>
        <v>#REF!</v>
      </c>
      <c r="Z508" s="18" t="e">
        <f t="shared" si="475"/>
        <v>#REF!</v>
      </c>
      <c r="AA508" s="18" t="e">
        <f t="shared" si="476"/>
        <v>#REF!</v>
      </c>
    </row>
  </sheetData>
  <mergeCells count="3">
    <mergeCell ref="G3:K3"/>
    <mergeCell ref="O3:S3"/>
    <mergeCell ref="W3:AA3"/>
  </mergeCells>
  <conditionalFormatting sqref="B235:B24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{4E669AC9-4F77-439C-AD44-1DE6CECCC7EF}</x14:id>
        </ext>
      </extLst>
    </cfRule>
  </conditionalFormatting>
  <conditionalFormatting sqref="B253:B25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{8BF579D7-E5E8-45FE-96C7-7A975386CD03}</x14:id>
        </ext>
      </extLst>
    </cfRule>
  </conditionalFormatting>
  <conditionalFormatting sqref="B271:B27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{0673F468-3FD9-465C-BBAA-F3CF442A0D20}</x14:id>
        </ext>
      </extLst>
    </cfRule>
  </conditionalFormatting>
  <conditionalFormatting sqref="B279:B288 B243:B252 B221:B234 B257:B27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{43D5B3FC-8907-481B-BE84-B094195CDCEF}</x14:id>
        </ext>
      </extLst>
    </cfRule>
  </conditionalFormatting>
  <conditionalFormatting sqref="B289:B29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{9DA49870-8744-4E28-9CA2-C3E9C3977F71}</x14:id>
        </ext>
      </extLst>
    </cfRule>
  </conditionalFormatting>
  <conditionalFormatting sqref="B293:B324 B329:B360 B365:B396 B401:B432 B437:B468 B473:B504 B5:C220 C293:C508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{CD81D4A9-36F4-4F8C-B775-54E85CB2542E}</x14:id>
        </ext>
      </extLst>
    </cfRule>
  </conditionalFormatting>
  <conditionalFormatting sqref="B325:B32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{C5B82B2B-5CA0-40DB-8F8D-BE4B81B9C4BB}</x14:id>
        </ext>
      </extLst>
    </cfRule>
  </conditionalFormatting>
  <conditionalFormatting sqref="B361:B36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{3E4527B6-6937-421A-AB6C-3FDF5F0469DB}</x14:id>
        </ext>
      </extLst>
    </cfRule>
  </conditionalFormatting>
  <conditionalFormatting sqref="B397:B400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{175F9EF7-A82A-40E1-BD3D-D91404B7956F}</x14:id>
        </ext>
      </extLst>
    </cfRule>
  </conditionalFormatting>
  <conditionalFormatting sqref="B433:B43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{42021265-2794-4F4E-93CF-7A382C69F099}</x14:id>
        </ext>
      </extLst>
    </cfRule>
  </conditionalFormatting>
  <conditionalFormatting sqref="B469:B47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{7772EFD6-F50D-46E4-A57F-8909D3C0CD34}</x14:id>
        </ext>
      </extLst>
    </cfRule>
  </conditionalFormatting>
  <conditionalFormatting sqref="B505:B508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{E0B738F1-0EEF-46A0-9B13-3D85742708E4}</x14:id>
        </ext>
      </extLst>
    </cfRule>
  </conditionalFormatting>
  <conditionalFormatting sqref="C221:C25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{66C57B93-51B3-4A48-B50B-EFD8CC542FD1}</x14:id>
        </ext>
      </extLst>
    </cfRule>
  </conditionalFormatting>
  <conditionalFormatting sqref="C257:C29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{FCFFFD7A-2616-43D2-A0A8-6BC96A95066B}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669AC9-4F77-439C-AD44-1DE6CECCC7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B235:B242</xm:sqref>
        </x14:conditionalFormatting>
        <x14:conditionalFormatting xmlns:xm="http://schemas.microsoft.com/office/excel/2006/main">
          <x14:cfRule type="dataBar" id="{8BF579D7-E5E8-45FE-96C7-7A975386CD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B253:B256</xm:sqref>
        </x14:conditionalFormatting>
        <x14:conditionalFormatting xmlns:xm="http://schemas.microsoft.com/office/excel/2006/main">
          <x14:cfRule type="dataBar" id="{0673F468-3FD9-465C-BBAA-F3CF442A0D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B271:B278</xm:sqref>
        </x14:conditionalFormatting>
        <x14:conditionalFormatting xmlns:xm="http://schemas.microsoft.com/office/excel/2006/main">
          <x14:cfRule type="dataBar" id="{43D5B3FC-8907-481B-BE84-B094195CDC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B279:B288 B243:B252 B221:B234 B257:B270</xm:sqref>
        </x14:conditionalFormatting>
        <x14:conditionalFormatting xmlns:xm="http://schemas.microsoft.com/office/excel/2006/main">
          <x14:cfRule type="dataBar" id="{9DA49870-8744-4E28-9CA2-C3E9C3977F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B289:B292</xm:sqref>
        </x14:conditionalFormatting>
        <x14:conditionalFormatting xmlns:xm="http://schemas.microsoft.com/office/excel/2006/main">
          <x14:cfRule type="dataBar" id="{CD81D4A9-36F4-4F8C-B775-54E85CB25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B293:B324 B329:B360 B365:B396 B401:B432 B437:B468 B473:B504 B5:C220 C293:C508</xm:sqref>
        </x14:conditionalFormatting>
        <x14:conditionalFormatting xmlns:xm="http://schemas.microsoft.com/office/excel/2006/main">
          <x14:cfRule type="dataBar" id="{C5B82B2B-5CA0-40DB-8F8D-BE4B81B9C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B325:B328</xm:sqref>
        </x14:conditionalFormatting>
        <x14:conditionalFormatting xmlns:xm="http://schemas.microsoft.com/office/excel/2006/main">
          <x14:cfRule type="dataBar" id="{3E4527B6-6937-421A-AB6C-3FDF5F0469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B361:B364</xm:sqref>
        </x14:conditionalFormatting>
        <x14:conditionalFormatting xmlns:xm="http://schemas.microsoft.com/office/excel/2006/main">
          <x14:cfRule type="dataBar" id="{175F9EF7-A82A-40E1-BD3D-D91404B79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B397:B400</xm:sqref>
        </x14:conditionalFormatting>
        <x14:conditionalFormatting xmlns:xm="http://schemas.microsoft.com/office/excel/2006/main">
          <x14:cfRule type="dataBar" id="{42021265-2794-4F4E-93CF-7A382C69F0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B433:B436</xm:sqref>
        </x14:conditionalFormatting>
        <x14:conditionalFormatting xmlns:xm="http://schemas.microsoft.com/office/excel/2006/main">
          <x14:cfRule type="dataBar" id="{7772EFD6-F50D-46E4-A57F-8909D3C0C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B469:B472</xm:sqref>
        </x14:conditionalFormatting>
        <x14:conditionalFormatting xmlns:xm="http://schemas.microsoft.com/office/excel/2006/main">
          <x14:cfRule type="dataBar" id="{E0B738F1-0EEF-46A0-9B13-3D85742708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B505:B508</xm:sqref>
        </x14:conditionalFormatting>
        <x14:conditionalFormatting xmlns:xm="http://schemas.microsoft.com/office/excel/2006/main">
          <x14:cfRule type="dataBar" id="{66C57B93-51B3-4A48-B50B-EFD8CC542F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C221:C256</xm:sqref>
        </x14:conditionalFormatting>
        <x14:conditionalFormatting xmlns:xm="http://schemas.microsoft.com/office/excel/2006/main">
          <x14:cfRule type="dataBar" id="{FCFFFD7A-2616-43D2-A0A8-6BC96A9506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C257:C292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1420d8-fa2b-4e53-8fa4-66ae8bd234cd" xsi:nil="true"/>
    <lcf76f155ced4ddcb4097134ff3c332f xmlns="92a46958-9117-4c84-ab46-5948b84a903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E17D4D4A20254C807FD7D068DCAE04" ma:contentTypeVersion="10" ma:contentTypeDescription="Crear nuevo documento." ma:contentTypeScope="" ma:versionID="a21c065e1113260a3f8d4e490cb2bc02">
  <xsd:schema xmlns:xsd="http://www.w3.org/2001/XMLSchema" xmlns:xs="http://www.w3.org/2001/XMLSchema" xmlns:p="http://schemas.microsoft.com/office/2006/metadata/properties" xmlns:ns2="92a46958-9117-4c84-ab46-5948b84a903a" xmlns:ns3="701420d8-fa2b-4e53-8fa4-66ae8bd234cd" targetNamespace="http://schemas.microsoft.com/office/2006/metadata/properties" ma:root="true" ma:fieldsID="58553a9dea33bd3afe05e42f9a0b5e66" ns2:_="" ns3:_="">
    <xsd:import namespace="92a46958-9117-4c84-ab46-5948b84a903a"/>
    <xsd:import namespace="701420d8-fa2b-4e53-8fa4-66ae8bd234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a46958-9117-4c84-ab46-5948b84a90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9f94c3ac-afd4-4fc8-8f41-c4292f042d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1420d8-fa2b-4e53-8fa4-66ae8bd234c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001e825-e8bf-4f7c-b1ab-a62e46582255}" ma:internalName="TaxCatchAll" ma:showField="CatchAllData" ma:web="701420d8-fa2b-4e53-8fa4-66ae8bd234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410B1E-1B91-4BE4-914C-54CFF6812F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4B7EA0-D5FD-4E0D-A32A-34CD8436A22D}">
  <ds:schemaRefs>
    <ds:schemaRef ds:uri="http://www.w3.org/XML/1998/namespace"/>
    <ds:schemaRef ds:uri="http://purl.org/dc/dcmitype/"/>
    <ds:schemaRef ds:uri="92a46958-9117-4c84-ab46-5948b84a903a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701420d8-fa2b-4e53-8fa4-66ae8bd234cd"/>
  </ds:schemaRefs>
</ds:datastoreItem>
</file>

<file path=customXml/itemProps3.xml><?xml version="1.0" encoding="utf-8"?>
<ds:datastoreItem xmlns:ds="http://schemas.openxmlformats.org/officeDocument/2006/customXml" ds:itemID="{F229150F-0994-43C7-9C25-5905BBBDD4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a46958-9117-4c84-ab46-5948b84a903a"/>
    <ds:schemaRef ds:uri="701420d8-fa2b-4e53-8fa4-66ae8bd234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Datos Cliente</vt:lpstr>
      <vt:lpstr>Tarifa Premium</vt:lpstr>
      <vt:lpstr>Tarifa Economy</vt:lpstr>
      <vt:lpstr>Cálculos </vt:lpstr>
      <vt:lpstr>'Tarifa Economy'!Área_de_impresión</vt:lpstr>
      <vt:lpstr>'Tarifa Premium'!Área_de_impresión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2026-05-15T13:34:42Z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0x01010017E17D4D4A20254C807FD7D068DCAE04</vt:lpwstr>
  </property>
</Properties>
</file>